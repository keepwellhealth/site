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amp" sheetId="1" r:id="rId3"/>
    <sheet state="visible" name="Hiring Rate comparison" sheetId="2" r:id="rId4"/>
    <sheet state="visible" name="Churn Rate Comparison" sheetId="3" r:id="rId5"/>
  </sheets>
  <definedNames/>
  <calcPr/>
</workbook>
</file>

<file path=xl/sharedStrings.xml><?xml version="1.0" encoding="utf-8"?>
<sst xmlns="http://schemas.openxmlformats.org/spreadsheetml/2006/main" count="1381" uniqueCount="137">
  <si>
    <t>SaaS Economics - Ramping a SaaS salesforce</t>
  </si>
  <si>
    <t xml:space="preserve">Cells formated like this: </t>
  </si>
  <si>
    <t>are input variables</t>
  </si>
  <si>
    <t>Part 1: Model the ecomomics of a single sales person</t>
  </si>
  <si>
    <t>Sales compensation and overhead</t>
  </si>
  <si>
    <t>Base Compensation</t>
  </si>
  <si>
    <t>Variable Compensation</t>
  </si>
  <si>
    <t>with 50% draw for first four months</t>
  </si>
  <si>
    <t>Draw on Variable Comp</t>
  </si>
  <si>
    <t>Productivity Ramp</t>
  </si>
  <si>
    <t>Additional overhead</t>
  </si>
  <si>
    <t>Sales attrition factor</t>
  </si>
  <si>
    <t>a factor to discount bookings to account for failed sales hires and attrition</t>
  </si>
  <si>
    <t>On target annual  bookings</t>
  </si>
  <si>
    <t xml:space="preserve">    Annual Bookings</t>
  </si>
  <si>
    <t>ACV (Annual Contract Value)</t>
  </si>
  <si>
    <t xml:space="preserve">    Monthly Bookings</t>
  </si>
  <si>
    <t>Billed monthly (=ACV / 12)</t>
  </si>
  <si>
    <t>Quick Marketing Calculation</t>
  </si>
  <si>
    <t>amount of traffic that is organic versus paid</t>
  </si>
  <si>
    <t>Churn Rate and Margin</t>
  </si>
  <si>
    <t>cost per paid visitor (Google AdWords, etc.)</t>
  </si>
  <si>
    <t>Churn Rate (monthly)</t>
  </si>
  <si>
    <t>Cost per visitor (both paid and unpaid)</t>
  </si>
  <si>
    <t>Gross Margin</t>
  </si>
  <si>
    <t>visitors convert to raw leads</t>
  </si>
  <si>
    <t>number of raw leads that turn into qualified leads</t>
  </si>
  <si>
    <t>Cost of Leads required to feed sales</t>
  </si>
  <si>
    <t>Average Deal Size</t>
  </si>
  <si>
    <t>(ACV) Annual Contract Value</t>
  </si>
  <si>
    <t>Deals to meet target</t>
  </si>
  <si>
    <t>per month</t>
  </si>
  <si>
    <t>qualified lead</t>
  </si>
  <si>
    <t>Leads to closed deal</t>
  </si>
  <si>
    <t>raw leads required</t>
  </si>
  <si>
    <t>Cost per Qualified Lead</t>
  </si>
  <si>
    <t>visitors required</t>
  </si>
  <si>
    <t>Cost of Leads required</t>
  </si>
  <si>
    <t>per month, for 1 fully productive sales person</t>
  </si>
  <si>
    <t>Cost of visitors (also = Cost per qualified lead)</t>
  </si>
  <si>
    <t>Other interesting Calculations</t>
  </si>
  <si>
    <t>Lead Gen costs per deal</t>
  </si>
  <si>
    <t>Excludes people costs</t>
  </si>
  <si>
    <t>Selling costs per deal</t>
  </si>
  <si>
    <t>Excludes cost of sales management</t>
  </si>
  <si>
    <t>Total CAC</t>
  </si>
  <si>
    <t>Excludes people costs in marketing, and sales management. (CAC= Cost to Acquire a Customer)</t>
  </si>
  <si>
    <t>Total LTV</t>
  </si>
  <si>
    <t>Calculated by dividing average monthly gross profit per customer (ARPU x Gross Margin ) by the churn rate</t>
  </si>
  <si>
    <t>Income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</si>
  <si>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</si>
  <si>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</si>
  <si>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</si>
  <si>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</si>
  <si>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</si>
  <si>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</si>
  <si>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</si>
  <si>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</si>
  <si>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</si>
  <si>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</si>
  <si>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</si>
  <si>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</si>
  <si>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</si>
  <si>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</si>
  <si>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</si>
  <si>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</si>
  <si>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</si>
  <si>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</si>
  <si>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</si>
  <si>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</si>
  <si>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</si>
  <si>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</si>
  <si>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</si>
  <si>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</si>
  <si>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</si>
  <si>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</si>
  <si>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</si>
  <si>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</si>
  <si>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</si>
  <si>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</si>
  <si>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</si>
  <si>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</si>
  <si>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</si>
  <si>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</si>
  <si>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</si>
  <si>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</si>
  <si>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Bookings (ACV)</t>
  </si>
  <si>
    <t>New MRR added this month</t>
  </si>
  <si>
    <t>MRR from prior months bookings</t>
  </si>
  <si>
    <t>Churn</t>
  </si>
  <si>
    <t>Total MRR (Billings)</t>
  </si>
  <si>
    <t>Cumulative Billings</t>
  </si>
  <si>
    <t>Cumulative Gross Profit</t>
  </si>
  <si>
    <t>Expenses</t>
  </si>
  <si>
    <t>Base Salary</t>
  </si>
  <si>
    <t>Overhead</t>
  </si>
  <si>
    <t>Cost of leads required</t>
  </si>
  <si>
    <t>Total Expenses</t>
  </si>
  <si>
    <t>Cumulative expenses</t>
  </si>
  <si>
    <t>Breakeven Analysis</t>
  </si>
  <si>
    <t>Net profit</t>
  </si>
  <si>
    <t>Cumulative Net Profit</t>
  </si>
  <si>
    <t>Part 2: Look at the Overall Economics when Ramping Sales Hires</t>
  </si>
  <si>
    <t>New Sales Hires</t>
  </si>
  <si>
    <t xml:space="preserve">No of Salespeople at </t>
  </si>
  <si>
    <t>each stage in lifecycle</t>
  </si>
  <si>
    <t>1st month</t>
  </si>
  <si>
    <t>2nd month</t>
  </si>
  <si>
    <t>3rd month</t>
  </si>
  <si>
    <t>4th month</t>
  </si>
  <si>
    <t>5th month</t>
  </si>
  <si>
    <t>6th month</t>
  </si>
  <si>
    <t>7th month</t>
  </si>
  <si>
    <t>10th month &amp; Beyond</t>
  </si>
  <si>
    <t>Total Sales Headcount</t>
  </si>
  <si>
    <t>Total Leads Required</t>
  </si>
  <si>
    <t>Growth in MRR</t>
  </si>
  <si>
    <t>Part 3: Look at the impact of collecting 1 year's payment in advance</t>
  </si>
  <si>
    <t>Step 1: Individual Sales person</t>
  </si>
  <si>
    <t>Renewable contract value</t>
  </si>
  <si>
    <t>Renewals (renewable - churn)</t>
  </si>
  <si>
    <t>Billings (bookings + renewals)</t>
  </si>
  <si>
    <t>Net Cash Flows</t>
  </si>
  <si>
    <t>Cumulative Net Cash Flows</t>
  </si>
  <si>
    <t>Step 2: Look at the Overall Economics when Ramping Sales Hires</t>
  </si>
  <si>
    <t>Billings less churn (MRR)</t>
  </si>
  <si>
    <t>Comparison of hiring 1 versus 2 sales people per month</t>
  </si>
  <si>
    <t>Data for hiring 1 sales person per month</t>
  </si>
  <si>
    <t>Graphing Data</t>
  </si>
  <si>
    <t>MRR</t>
  </si>
  <si>
    <t>1 sales hire a month</t>
  </si>
  <si>
    <t>2 sales hires a month</t>
  </si>
  <si>
    <t>Net Profit</t>
  </si>
  <si>
    <t>Churn Rate Comparison</t>
  </si>
  <si>
    <t>This is simply a copy of the first tab, with a different churn rate (1.25% versus 2.5%)</t>
  </si>
  <si>
    <t>Churn 1.25%</t>
  </si>
  <si>
    <t>Churn 2.5%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</si>
</sst>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$#,##0;($#,##0)"/>
    <numFmt numFmtId="165" formatCode="$#,##0.00 ;($#,##0.00)"/>
    <numFmt numFmtId="166" formatCode="$#,##0.00;($#,##0.00)"/>
    <numFmt numFmtId="167" formatCode="$#,##0 ;($#,##0)"/>
    <numFmt numFmtId="168" formatCode="#,##0.0;(#,##0.0)"/>
    <numFmt numFmtId="169" formatCode="#,##0;(#,##0)"/>
  </numFmts>
  <fonts count="9">
    <font>
      <sz val="10.0"/>
      <color rgb="FF000000"/>
      <name val="Arial"/>
    </font>
    <font>
      <b/>
      <sz val="18.0"/>
      <color rgb="FF1F497D"/>
      <name val="Cambria"/>
    </font>
    <font>
      <sz val="11.0"/>
      <color rgb="FF000000"/>
      <name val="Calibri"/>
    </font>
    <font>
      <sz val="11.0"/>
      <color rgb="FF3F3F76"/>
      <name val="Calibri"/>
    </font>
    <font>
      <b/>
      <sz val="15.0"/>
      <color rgb="FF1F497D"/>
      <name val="Calibri"/>
    </font>
    <font>
      <b/>
      <sz val="11.0"/>
      <color rgb="FF1F497D"/>
      <name val="Calibri"/>
    </font>
    <font>
      <sz val="11.0"/>
      <color rgb="FFFFFFFF"/>
      <name val="Calibri"/>
    </font>
    <font>
      <b/>
      <sz val="13.0"/>
      <color rgb="FF1F497D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9BBB59"/>
        <bgColor rgb="FF9BBB59"/>
      </patternFill>
    </fill>
    <fill>
      <patternFill patternType="solid">
        <fgColor rgb="FFEAF1DD"/>
        <bgColor rgb="FFEAF1DD"/>
      </patternFill>
    </fill>
    <fill>
      <patternFill patternType="solid">
        <fgColor rgb="FF8064A2"/>
        <bgColor rgb="FF8064A2"/>
      </patternFill>
    </fill>
    <fill>
      <patternFill patternType="solid">
        <fgColor rgb="FFE5DFEC"/>
        <bgColor rgb="FFE5DFEC"/>
      </patternFill>
    </fill>
    <fill>
      <patternFill patternType="solid">
        <fgColor rgb="FF4BACC6"/>
        <bgColor rgb="FF4BACC6"/>
      </patternFill>
    </fill>
    <fill>
      <patternFill patternType="solid">
        <fgColor rgb="FFDAEEF3"/>
        <bgColor rgb="FFDAEEF3"/>
      </patternFill>
    </fill>
    <fill>
      <patternFill patternType="solid">
        <fgColor rgb="FF4F81BD"/>
        <bgColor rgb="FF4F81BD"/>
      </patternFill>
    </fill>
  </fills>
  <borders count="23">
    <border/>
    <border>
      <bottom style="thin">
        <color rgb="FF4F81BD"/>
      </bottom>
    </border>
    <border>
      <bottom style="thin">
        <color rgb="FF7F7F7F"/>
      </bottom>
    </border>
    <border>
      <top style="thin">
        <color rgb="FF4F81BD"/>
      </top>
    </border>
    <border>
      <right style="thin">
        <color rgb="FF7F7F7F"/>
      </righ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</border>
    <border>
      <top style="thin">
        <color rgb="FF7F7F7F"/>
      </top>
    </border>
    <border>
      <top style="thin">
        <color rgb="FF4F81BD"/>
      </top>
      <bottom style="thin">
        <color rgb="FF95B3D7"/>
      </bottom>
    </border>
    <border>
      <right style="thin">
        <color rgb="FF7F7F7F"/>
      </right>
      <top style="thin">
        <color rgb="FF95B3D7"/>
      </top>
    </border>
    <border>
      <left style="thin">
        <color rgb="FF7F7F7F"/>
      </left>
      <right style="thin">
        <color rgb="FF7F7F7F"/>
      </right>
      <top style="thin">
        <color rgb="FF95B3D7"/>
      </top>
      <bottom style="thin">
        <color rgb="FF7F7F7F"/>
      </bottom>
    </border>
    <border>
      <left style="thin">
        <color rgb="FF7F7F7F"/>
      </left>
      <bottom style="thin">
        <color rgb="FF7F7F7F"/>
      </bottom>
    </border>
    <border>
      <left style="thin">
        <color rgb="FF7F7F7F"/>
      </left>
      <top style="thin">
        <color rgb="FF7F7F7F"/>
      </top>
    </border>
    <border>
      <bottom style="thin">
        <color rgb="FF95B3D7"/>
      </bottom>
    </border>
    <border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95B3D7"/>
      </top>
    </border>
    <border>
      <top style="thin">
        <color rgb="FF95B3D7"/>
      </top>
    </border>
    <border>
      <bottom style="thin">
        <color rgb="FFA6BFDD"/>
      </bottom>
    </border>
    <border>
      <top style="thin">
        <color rgb="FFA6BFDD"/>
      </top>
    </border>
    <border>
      <top style="thin">
        <color rgb="FF4F81BD"/>
      </top>
      <bottom style="thin">
        <color rgb="FF4F81BD"/>
      </bottom>
    </border>
    <border>
      <top style="thin">
        <color rgb="FFA6BFDD"/>
      </top>
      <bottom style="thin">
        <color rgb="FFA6BFDD"/>
      </bottom>
    </border>
    <border>
      <top style="thin">
        <color rgb="FFA6BFDD"/>
      </top>
      <bottom style="thin">
        <color rgb="FF7F7F7F"/>
      </bottom>
    </border>
    <border>
      <right style="thin">
        <color rgb="FF7F7F7F"/>
      </right>
      <top style="thin">
        <color rgb="FFA6BFDD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5" fillId="2" fontId="3" numFmtId="0" xfId="0" applyAlignment="1" applyBorder="1" applyFill="1" applyFont="1">
      <alignment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10" fillId="2" fontId="3" numFmtId="164" xfId="0" applyAlignment="1" applyBorder="1" applyFont="1" applyNumberFormat="1">
      <alignment readingOrder="0" shrinkToFit="0" vertical="bottom" wrapText="0"/>
    </xf>
    <xf borderId="6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2" fontId="3" numFmtId="164" xfId="0" applyAlignment="1" applyBorder="1" applyFont="1" applyNumberFormat="1">
      <alignment readingOrder="0"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5" fillId="2" fontId="3" numFmtId="9" xfId="0" applyAlignment="1" applyBorder="1" applyFont="1" applyNumberFormat="1">
      <alignment readingOrder="0" shrinkToFit="0" vertical="bottom" wrapText="0"/>
    </xf>
    <xf borderId="12" fillId="0" fontId="2" numFmtId="0" xfId="0" applyAlignment="1" applyBorder="1" applyFont="1">
      <alignment shrinkToFit="0" vertical="bottom" wrapText="0"/>
    </xf>
    <xf borderId="7" fillId="0" fontId="2" numFmtId="9" xfId="0" applyAlignment="1" applyBorder="1" applyFont="1" applyNumberFormat="1">
      <alignment shrinkToFit="0" vertical="bottom" wrapText="0"/>
    </xf>
    <xf borderId="13" fillId="0" fontId="5" numFmtId="0" xfId="0" applyAlignment="1" applyBorder="1" applyFont="1">
      <alignment readingOrder="0" shrinkToFit="0" vertical="bottom" wrapText="0"/>
    </xf>
    <xf borderId="13" fillId="0" fontId="5" numFmtId="0" xfId="0" applyAlignment="1" applyBorder="1" applyFont="1">
      <alignment shrinkToFit="0" vertical="bottom" wrapText="0"/>
    </xf>
    <xf borderId="10" fillId="2" fontId="3" numFmtId="3" xfId="0" applyAlignment="1" applyBorder="1" applyFont="1" applyNumberFormat="1">
      <alignment readingOrder="0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2" numFmtId="164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2" fillId="3" fontId="6" numFmtId="0" xfId="0" applyAlignment="1" applyBorder="1" applyFill="1" applyFont="1">
      <alignment readingOrder="0" shrinkToFit="0" vertical="bottom" wrapText="0"/>
    </xf>
    <xf borderId="0" fillId="3" fontId="6" numFmtId="0" xfId="0" applyAlignment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6" fillId="4" fontId="2" numFmtId="0" xfId="0" applyAlignment="1" applyBorder="1" applyFill="1" applyFont="1">
      <alignment readingOrder="0" shrinkToFit="0" vertical="bottom" wrapText="0"/>
    </xf>
    <xf borderId="0" fillId="4" fontId="2" numFmtId="0" xfId="0" applyAlignment="1" applyFont="1">
      <alignment shrinkToFit="0" vertical="bottom" wrapText="0"/>
    </xf>
    <xf borderId="13" fillId="0" fontId="5" numFmtId="164" xfId="0" applyAlignment="1" applyBorder="1" applyFont="1" applyNumberFormat="1">
      <alignment shrinkToFit="0" vertical="bottom" wrapText="0"/>
    </xf>
    <xf borderId="5" fillId="2" fontId="3" numFmtId="165" xfId="0" applyAlignment="1" applyBorder="1" applyFont="1" applyNumberFormat="1">
      <alignment readingOrder="0" shrinkToFit="0" vertical="bottom" wrapText="0"/>
    </xf>
    <xf borderId="10" fillId="2" fontId="3" numFmtId="10" xfId="0" applyAlignment="1" applyBorder="1" applyFont="1" applyNumberFormat="1">
      <alignment readingOrder="0" shrinkToFit="0" vertical="bottom" wrapText="0"/>
    </xf>
    <xf borderId="14" fillId="4" fontId="2" numFmtId="166" xfId="0" applyAlignment="1" applyBorder="1" applyFont="1" applyNumberFormat="1">
      <alignment shrinkToFit="0" vertical="bottom" wrapText="0"/>
    </xf>
    <xf borderId="0" fillId="4" fontId="2" numFmtId="0" xfId="0" applyAlignment="1" applyFont="1">
      <alignment readingOrder="0" shrinkToFit="0" vertical="bottom" wrapText="0"/>
    </xf>
    <xf borderId="5" fillId="2" fontId="3" numFmtId="10" xfId="0" applyAlignment="1" applyBorder="1" applyFont="1" applyNumberFormat="1">
      <alignment readingOrder="0" shrinkToFit="0" vertical="bottom" wrapText="0"/>
    </xf>
    <xf borderId="7" fillId="0" fontId="2" numFmtId="10" xfId="0" applyAlignment="1" applyBorder="1" applyFont="1" applyNumberFormat="1">
      <alignment shrinkToFit="0" vertical="bottom" wrapText="0"/>
    </xf>
    <xf borderId="13" fillId="5" fontId="6" numFmtId="0" xfId="0" applyAlignment="1" applyBorder="1" applyFill="1" applyFont="1">
      <alignment readingOrder="0" shrinkToFit="0" vertical="bottom" wrapText="0"/>
    </xf>
    <xf borderId="13" fillId="5" fontId="6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bottom" wrapText="0"/>
    </xf>
    <xf borderId="9" fillId="6" fontId="2" numFmtId="0" xfId="0" applyAlignment="1" applyBorder="1" applyFill="1" applyFont="1">
      <alignment readingOrder="0" shrinkToFit="0" vertical="bottom" wrapText="0"/>
    </xf>
    <xf borderId="10" fillId="2" fontId="3" numFmtId="167" xfId="0" applyAlignment="1" applyBorder="1" applyFont="1" applyNumberFormat="1">
      <alignment readingOrder="0" shrinkToFit="0" vertical="bottom" wrapText="0"/>
    </xf>
    <xf borderId="15" fillId="6" fontId="2" numFmtId="0" xfId="0" applyAlignment="1" applyBorder="1" applyFont="1">
      <alignment readingOrder="0" shrinkToFit="0" vertical="bottom" wrapText="0"/>
    </xf>
    <xf borderId="16" fillId="6" fontId="2" numFmtId="0" xfId="0" applyAlignment="1" applyBorder="1" applyFont="1">
      <alignment shrinkToFit="0" vertical="bottom" wrapText="0"/>
    </xf>
    <xf borderId="0" fillId="6" fontId="2" numFmtId="0" xfId="0" applyAlignment="1" applyFont="1">
      <alignment readingOrder="0" shrinkToFit="0" vertical="bottom" wrapText="0"/>
    </xf>
    <xf borderId="14" fillId="6" fontId="2" numFmtId="168" xfId="0" applyAlignment="1" applyBorder="1" applyFont="1" applyNumberFormat="1">
      <alignment shrinkToFit="0" vertical="bottom" wrapText="0"/>
    </xf>
    <xf borderId="0" fillId="6" fontId="2" numFmtId="0" xfId="0" applyAlignment="1" applyFont="1">
      <alignment shrinkToFit="0" vertical="bottom" wrapText="0"/>
    </xf>
    <xf borderId="4" fillId="6" fontId="2" numFmtId="0" xfId="0" applyAlignment="1" applyBorder="1" applyFont="1">
      <alignment readingOrder="0" shrinkToFit="0" vertical="bottom" wrapText="0"/>
    </xf>
    <xf borderId="5" fillId="2" fontId="3" numFmtId="169" xfId="0" applyAlignment="1" applyBorder="1" applyFont="1" applyNumberFormat="1">
      <alignment readingOrder="0" shrinkToFit="0" vertical="bottom" wrapText="0"/>
    </xf>
    <xf borderId="6" fillId="6" fontId="2" numFmtId="0" xfId="0" applyAlignment="1" applyBorder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5" fillId="2" fontId="3" numFmtId="167" xfId="0" applyAlignment="1" applyBorder="1" applyFont="1" applyNumberFormat="1">
      <alignment shrinkToFit="0" vertical="bottom" wrapText="0"/>
    </xf>
    <xf borderId="7" fillId="6" fontId="2" numFmtId="164" xfId="0" applyAlignment="1" applyBorder="1" applyFont="1" applyNumberFormat="1">
      <alignment shrinkToFit="0" vertical="bottom" wrapText="0"/>
    </xf>
    <xf borderId="0" fillId="4" fontId="2" numFmtId="167" xfId="0" applyAlignment="1" applyFont="1" applyNumberFormat="1">
      <alignment shrinkToFit="0" vertical="bottom" wrapText="0"/>
    </xf>
    <xf borderId="0" fillId="7" fontId="6" numFmtId="0" xfId="0" applyAlignment="1" applyFill="1" applyFont="1">
      <alignment readingOrder="0" shrinkToFit="0" vertical="bottom" wrapText="0"/>
    </xf>
    <xf borderId="0" fillId="7" fontId="6" numFmtId="164" xfId="0" applyAlignment="1" applyFont="1" applyNumberFormat="1">
      <alignment shrinkToFit="0" vertical="bottom" wrapText="0"/>
    </xf>
    <xf borderId="0" fillId="8" fontId="2" numFmtId="0" xfId="0" applyAlignment="1" applyFill="1" applyFont="1">
      <alignment readingOrder="0" shrinkToFit="0" vertical="bottom" wrapText="0"/>
    </xf>
    <xf borderId="0" fillId="8" fontId="2" numFmtId="164" xfId="0" applyAlignment="1" applyFont="1" applyNumberFormat="1">
      <alignment shrinkToFit="0" vertical="bottom" wrapText="0"/>
    </xf>
    <xf borderId="0" fillId="0" fontId="2" numFmtId="10" xfId="0" applyAlignment="1" applyFont="1" applyNumberFormat="1">
      <alignment shrinkToFit="0" vertical="bottom" wrapText="0"/>
    </xf>
    <xf borderId="17" fillId="0" fontId="7" numFmtId="0" xfId="0" applyAlignment="1" applyBorder="1" applyFont="1">
      <alignment readingOrder="0" shrinkToFit="0" vertical="bottom" wrapText="0"/>
    </xf>
    <xf borderId="0" fillId="9" fontId="6" numFmtId="0" xfId="0" applyAlignment="1" applyFill="1" applyFont="1">
      <alignment horizontal="right" readingOrder="0" shrinkToFit="0" vertical="bottom" wrapText="0"/>
    </xf>
    <xf borderId="18" fillId="0" fontId="2" numFmtId="0" xfId="0" applyAlignment="1" applyBorder="1" applyFont="1">
      <alignment readingOrder="0"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2" numFmtId="9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9" fillId="0" fontId="8" numFmtId="0" xfId="0" applyAlignment="1" applyBorder="1" applyFont="1">
      <alignment readingOrder="0" shrinkToFit="0" vertical="bottom" wrapText="0"/>
    </xf>
    <xf borderId="19" fillId="0" fontId="8" numFmtId="164" xfId="0" applyAlignment="1" applyBorder="1" applyFont="1" applyNumberFormat="1">
      <alignment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0" fontId="2" numFmtId="164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9" fontId="6" numFmtId="0" xfId="0" applyAlignment="1" applyBorder="1" applyFont="1">
      <alignment horizontal="right" readingOrder="0" shrinkToFit="0" vertical="bottom" wrapText="0"/>
    </xf>
    <xf borderId="5" fillId="2" fontId="3" numFmtId="0" xfId="0" applyAlignment="1" applyBorder="1" applyFont="1">
      <alignment readingOrder="0" shrinkToFit="0" vertical="bottom" wrapText="0"/>
    </xf>
    <xf borderId="0" fillId="9" fontId="6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shrinkToFit="0" vertical="bottom" wrapText="0"/>
    </xf>
    <xf borderId="3" fillId="0" fontId="2" numFmtId="169" xfId="0" applyAlignment="1" applyBorder="1" applyFont="1" applyNumberFormat="1">
      <alignment shrinkToFit="0" vertical="bottom" wrapText="0"/>
    </xf>
    <xf borderId="17" fillId="0" fontId="7" numFmtId="0" xfId="0" applyAlignment="1" applyBorder="1" applyFont="1">
      <alignment shrinkToFit="0" vertical="bottom" wrapText="0"/>
    </xf>
    <xf borderId="20" fillId="0" fontId="7" numFmtId="0" xfId="0" applyAlignment="1" applyBorder="1" applyFont="1">
      <alignment readingOrder="0" shrinkToFit="0" vertical="bottom" wrapText="0"/>
    </xf>
    <xf borderId="21" fillId="9" fontId="6" numFmtId="0" xfId="0" applyAlignment="1" applyBorder="1" applyFont="1">
      <alignment horizontal="right" readingOrder="0" shrinkToFit="0" vertical="bottom" wrapText="0"/>
    </xf>
    <xf borderId="22" fillId="0" fontId="2" numFmtId="0" xfId="0" applyAlignment="1" applyBorder="1" applyFont="1">
      <alignment readingOrder="0" shrinkToFit="0" vertical="bottom" wrapText="0"/>
    </xf>
    <xf borderId="6" fillId="0" fontId="2" numFmtId="9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Net profit - New Sales Hire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Ramp'!$A$57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Ramp'!$B$56:$Y$56</c:f>
            </c:strRef>
          </c:cat>
          <c:val>
            <c:numRef>
              <c:f>'Sales Ramp'!$B$57:$Y$57</c:f>
              <c:numCache/>
            </c:numRef>
          </c:val>
          <c:smooth val="0"/>
        </c:ser>
        <c:axId val="563200407"/>
        <c:axId val="1208035241"/>
      </c:lineChart>
      <c:catAx>
        <c:axId val="563200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08035241"/>
      </c:catAx>
      <c:valAx>
        <c:axId val="1208035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3200407"/>
      </c:valAx>
    </c:plotArea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Cumulative Net Profit - New Sales Hire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Ramp'!$A$58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Ramp'!$B$56:$AK$56</c:f>
            </c:strRef>
          </c:cat>
          <c:val>
            <c:numRef>
              <c:f>'Sales Ramp'!$B$58:$AK$58</c:f>
              <c:numCache/>
            </c:numRef>
          </c:val>
          <c:smooth val="0"/>
        </c:ser>
        <c:axId val="1380944061"/>
        <c:axId val="505245377"/>
      </c:lineChart>
      <c:catAx>
        <c:axId val="1380944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5245377"/>
      </c:catAx>
      <c:valAx>
        <c:axId val="505245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0944061"/>
      </c:valAx>
    </c:plotArea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'Sales Ramp'!$A$113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Ramp'!$B$112:$Y$112</c:f>
            </c:strRef>
          </c:cat>
          <c:val>
            <c:numRef>
              <c:f>'Sales Ramp'!$B$113:$Y$113</c:f>
              <c:numCache/>
            </c:numRef>
          </c:val>
          <c:smooth val="0"/>
        </c:ser>
        <c:axId val="2107317822"/>
        <c:axId val="1663794873"/>
      </c:lineChart>
      <c:catAx>
        <c:axId val="2107317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3794873"/>
      </c:catAx>
      <c:valAx>
        <c:axId val="1663794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7317822"/>
      </c:valAx>
    </c:plotArea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'Sales Ramp'!$A$114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Ramp'!$B$112:$Y$112</c:f>
            </c:strRef>
          </c:cat>
          <c:val>
            <c:numRef>
              <c:f>'Sales Ramp'!$B$114:$Y$114</c:f>
              <c:numCache/>
            </c:numRef>
          </c:val>
          <c:smooth val="0"/>
        </c:ser>
        <c:axId val="1167441974"/>
        <c:axId val="1377518147"/>
      </c:lineChart>
      <c:catAx>
        <c:axId val="1167441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7518147"/>
      </c:catAx>
      <c:valAx>
        <c:axId val="1377518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7441974"/>
      </c:valAx>
    </c:plotArea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'Sales Ramp'!$A$99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Ramp'!$B$97:$Y$97</c:f>
            </c:strRef>
          </c:cat>
          <c:val>
            <c:numRef>
              <c:f>'Sales Ramp'!$B$99:$Y$99</c:f>
              <c:numCache/>
            </c:numRef>
          </c:val>
          <c:smooth val="0"/>
        </c:ser>
        <c:axId val="906007318"/>
        <c:axId val="1919568476"/>
      </c:lineChart>
      <c:catAx>
        <c:axId val="906007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9568476"/>
      </c:catAx>
      <c:valAx>
        <c:axId val="1919568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6007318"/>
      </c:valAx>
    </c:plotArea>
    <c:plotVisOnly val="0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Growth in MRR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Ramp'!$A$102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Ramp'!$B$97:$Y$97</c:f>
            </c:strRef>
          </c:cat>
          <c:val>
            <c:numRef>
              <c:f>'Sales Ramp'!$B$102:$Y$102</c:f>
              <c:numCache/>
            </c:numRef>
          </c:val>
          <c:smooth val="0"/>
        </c:ser>
        <c:axId val="1072235225"/>
        <c:axId val="771501928"/>
      </c:lineChart>
      <c:catAx>
        <c:axId val="1072235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1501928"/>
      </c:catAx>
      <c:valAx>
        <c:axId val="771501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2235225"/>
      </c:valAx>
    </c:plotArea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'Sales Ramp'!$A$114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Ramp'!$B$112:$AK$112</c:f>
            </c:strRef>
          </c:cat>
          <c:val>
            <c:numRef>
              <c:f>'Sales Ramp'!$B$114:$AK$114</c:f>
              <c:numCache/>
            </c:numRef>
          </c:val>
          <c:smooth val="0"/>
        </c:ser>
        <c:axId val="1887437235"/>
        <c:axId val="867080421"/>
      </c:lineChart>
      <c:catAx>
        <c:axId val="1887437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7080421"/>
      </c:catAx>
      <c:valAx>
        <c:axId val="867080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7437235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'Sales Ramp'!$A$164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Ramp'!$B$163:$Y$163</c:f>
            </c:strRef>
          </c:cat>
          <c:val>
            <c:numRef>
              <c:f>'Sales Ramp'!$B$164:$Y$164</c:f>
              <c:numCache/>
            </c:numRef>
          </c:val>
          <c:smooth val="0"/>
        </c:ser>
        <c:axId val="1683742558"/>
        <c:axId val="1883457435"/>
      </c:lineChart>
      <c:catAx>
        <c:axId val="1683742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3457435"/>
      </c:catAx>
      <c:valAx>
        <c:axId val="1883457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3742558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'Sales Ramp'!$A$165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'Sales Ramp'!$B$165:$Y$165</c:f>
              <c:numCache/>
            </c:numRef>
          </c:val>
          <c:smooth val="0"/>
        </c:ser>
        <c:axId val="2009187352"/>
        <c:axId val="114203879"/>
      </c:lineChart>
      <c:catAx>
        <c:axId val="2009187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203879"/>
      </c:catAx>
      <c:valAx>
        <c:axId val="114203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9187352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'Sales Ramp'!$A$193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Ramp'!$B$192:$AK$192</c:f>
            </c:strRef>
          </c:cat>
          <c:val>
            <c:numRef>
              <c:f>'Sales Ramp'!$B$193:$AK$193</c:f>
              <c:numCache/>
            </c:numRef>
          </c:val>
          <c:smooth val="0"/>
        </c:ser>
        <c:axId val="562584939"/>
        <c:axId val="1903952964"/>
      </c:lineChart>
      <c:catAx>
        <c:axId val="562584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3952964"/>
      </c:catAx>
      <c:valAx>
        <c:axId val="1903952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2584939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'Sales Ramp'!$A$194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Ramp'!$B$192:$AK$192</c:f>
            </c:strRef>
          </c:cat>
          <c:val>
            <c:numRef>
              <c:f>'Sales Ramp'!$B$194:$AK$194</c:f>
              <c:numCache/>
            </c:numRef>
          </c:val>
          <c:smooth val="0"/>
        </c:ser>
        <c:axId val="672035787"/>
        <c:axId val="1111341790"/>
      </c:lineChart>
      <c:catAx>
        <c:axId val="672035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1341790"/>
      </c:catAx>
      <c:valAx>
        <c:axId val="1111341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2035787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MRR - Single Sales Hire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'Sales Ramp'!$A$40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val>
            <c:numRef>
              <c:f>'Sales Ramp'!$B$40:$M$40</c:f>
              <c:numCache/>
            </c:numRef>
          </c:val>
        </c:ser>
        <c:ser>
          <c:idx val="1"/>
          <c:order val="1"/>
          <c:tx>
            <c:strRef>
              <c:f>'Sales Ramp'!$A$41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val>
            <c:numRef>
              <c:f>'Sales Ramp'!$B$41:$M$41</c:f>
              <c:numCache/>
            </c:numRef>
          </c:val>
        </c:ser>
        <c:ser>
          <c:idx val="2"/>
          <c:order val="2"/>
          <c:tx>
            <c:strRef>
              <c:f>'Sales Ramp'!$A$42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val>
            <c:numRef>
              <c:f>'Sales Ramp'!$B$42:$M$42</c:f>
              <c:numCache/>
            </c:numRef>
          </c:val>
        </c:ser>
        <c:overlap val="100"/>
        <c:axId val="1421192980"/>
        <c:axId val="421643598"/>
      </c:barChart>
      <c:catAx>
        <c:axId val="1421192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1643598"/>
      </c:catAx>
      <c:valAx>
        <c:axId val="421643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1192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Bookings &amp; Churn - Single Sales Hire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'Sales Ramp'!$A$40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val>
            <c:numRef>
              <c:f>'Sales Ramp'!$B$40:$M$40</c:f>
              <c:numCache/>
            </c:numRef>
          </c:val>
        </c:ser>
        <c:ser>
          <c:idx val="1"/>
          <c:order val="1"/>
          <c:tx>
            <c:strRef>
              <c:f>'Sales Ramp'!$A$42</c:f>
            </c:strRef>
          </c:tx>
          <c:spPr>
            <a:solidFill>
              <a:srgbClr val="DC3912"/>
            </a:solidFill>
            <a:ln cmpd="sng">
              <a:solidFill>
                <a:srgbClr val="000000"/>
              </a:solidFill>
            </a:ln>
          </c:spPr>
          <c:val>
            <c:numRef>
              <c:f>'Sales Ramp'!$B$42:$M$42</c:f>
              <c:numCache/>
            </c:numRef>
          </c:val>
        </c:ser>
        <c:overlap val="100"/>
        <c:axId val="461523551"/>
        <c:axId val="151818147"/>
      </c:barChart>
      <c:catAx>
        <c:axId val="46152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818147"/>
      </c:catAx>
      <c:valAx>
        <c:axId val="151818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1523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MRR Versus Expenses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Ramp'!$A$43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Ramp'!$B$37:$M$37</c:f>
            </c:strRef>
          </c:cat>
          <c:val>
            <c:numRef>
              <c:f>'Sales Ramp'!$B$43:$M$43</c:f>
              <c:numCache/>
            </c:numRef>
          </c:val>
          <c:smooth val="0"/>
        </c:ser>
        <c:ser>
          <c:idx val="1"/>
          <c:order val="1"/>
          <c:tx>
            <c:strRef>
              <c:f>'Sales Ramp'!$A$53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'Sales Ramp'!$B$37:$M$37</c:f>
            </c:strRef>
          </c:cat>
          <c:val>
            <c:numRef>
              <c:f>'Sales Ramp'!$B$53:$M$53</c:f>
              <c:numCache/>
            </c:numRef>
          </c:val>
          <c:smooth val="0"/>
        </c:ser>
        <c:axId val="1651675732"/>
        <c:axId val="94851679"/>
      </c:lineChart>
      <c:catAx>
        <c:axId val="1651675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851679"/>
      </c:catAx>
      <c:valAx>
        <c:axId val="94851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1675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Cashflow comparison - monthly payments vs year in advance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Ramp'!$A$57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Ramp'!$B$56:$Y$56</c:f>
            </c:strRef>
          </c:cat>
          <c:val>
            <c:numRef>
              <c:f>'Sales Ramp'!$B$57:$Y$57</c:f>
              <c:numCache/>
            </c:numRef>
          </c:val>
          <c:smooth val="0"/>
        </c:ser>
        <c:ser>
          <c:idx val="1"/>
          <c:order val="1"/>
          <c:tx>
            <c:strRef>
              <c:f>'Sales Ramp'!$A$164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'Sales Ramp'!$B$56:$Y$56</c:f>
            </c:strRef>
          </c:cat>
          <c:val>
            <c:numRef>
              <c:f>'Sales Ramp'!$B$164:$Y$164</c:f>
              <c:numCache/>
            </c:numRef>
          </c:val>
          <c:smooth val="0"/>
        </c:ser>
        <c:axId val="647754463"/>
        <c:axId val="324221856"/>
      </c:lineChart>
      <c:catAx>
        <c:axId val="647754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4221856"/>
      </c:catAx>
      <c:valAx>
        <c:axId val="324221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7754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Cumulative Cashflow comparision -  monthly payments vs year in advance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Ramp'!$A$114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Ramp'!$B$112:$AK$112</c:f>
            </c:strRef>
          </c:cat>
          <c:val>
            <c:numRef>
              <c:f>'Sales Ramp'!$B$114:$AK$114</c:f>
              <c:numCache/>
            </c:numRef>
          </c:val>
          <c:smooth val="0"/>
        </c:ser>
        <c:ser>
          <c:idx val="1"/>
          <c:order val="1"/>
          <c:tx>
            <c:strRef>
              <c:f>'Sales Ramp'!$A$194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'Sales Ramp'!$B$112:$AK$112</c:f>
            </c:strRef>
          </c:cat>
          <c:val>
            <c:numRef>
              <c:f>'Sales Ramp'!$B$194:$AK$194</c:f>
              <c:numCache/>
            </c:numRef>
          </c:val>
          <c:smooth val="0"/>
        </c:ser>
        <c:axId val="594910568"/>
        <c:axId val="1010690338"/>
      </c:lineChart>
      <c:catAx>
        <c:axId val="594910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0690338"/>
      </c:catAx>
      <c:valAx>
        <c:axId val="1010690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4910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Cumulative Cashflow comparision -  monthly payments vs year in advance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Ramp'!$A$58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Ramp'!$B$56:$Y$56</c:f>
            </c:strRef>
          </c:cat>
          <c:val>
            <c:numRef>
              <c:f>'Sales Ramp'!$B$58:$Y$58</c:f>
              <c:numCache/>
            </c:numRef>
          </c:val>
          <c:smooth val="0"/>
        </c:ser>
        <c:ser>
          <c:idx val="1"/>
          <c:order val="1"/>
          <c:tx>
            <c:strRef>
              <c:f>'Sales Ramp'!$A$165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'Sales Ramp'!$B$56:$Y$56</c:f>
            </c:strRef>
          </c:cat>
          <c:val>
            <c:numRef>
              <c:f>'Sales Ramp'!$B$165:$Y$165</c:f>
              <c:numCache/>
            </c:numRef>
          </c:val>
          <c:smooth val="0"/>
        </c:ser>
        <c:axId val="1964475904"/>
        <c:axId val="1773840904"/>
      </c:lineChart>
      <c:catAx>
        <c:axId val="196447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3840904"/>
      </c:catAx>
      <c:valAx>
        <c:axId val="1773840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4475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Cashflow comparison - monthly payments vs year in advance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Ramp'!$A$113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'Sales Ramp'!$B$112:$AK$112</c:f>
            </c:strRef>
          </c:cat>
          <c:val>
            <c:numRef>
              <c:f>'Sales Ramp'!$B$113:$AK$113</c:f>
              <c:numCache/>
            </c:numRef>
          </c:val>
          <c:smooth val="0"/>
        </c:ser>
        <c:ser>
          <c:idx val="1"/>
          <c:order val="1"/>
          <c:tx>
            <c:strRef>
              <c:f>'Sales Ramp'!$A$193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'Sales Ramp'!$B$112:$AK$112</c:f>
            </c:strRef>
          </c:cat>
          <c:val>
            <c:numRef>
              <c:f>'Sales Ramp'!$B$193:$AK$193</c:f>
              <c:numCache/>
            </c:numRef>
          </c:val>
          <c:smooth val="0"/>
        </c:ser>
        <c:axId val="603642430"/>
        <c:axId val="673264606"/>
      </c:lineChart>
      <c:catAx>
        <c:axId val="603642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3264606"/>
      </c:catAx>
      <c:valAx>
        <c:axId val="673264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3642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MRR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'Hiring Rate comparison'!$A$49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'Hiring Rate comparison'!$B$48:$AK$48</c:f>
            </c:strRef>
          </c:cat>
          <c:val>
            <c:numRef>
              <c:f>'Hiring Rate comparison'!$B$49:$AK$49</c:f>
              <c:numCache/>
            </c:numRef>
          </c:val>
          <c:smooth val="0"/>
        </c:ser>
        <c:ser>
          <c:idx val="1"/>
          <c:order val="1"/>
          <c:tx>
            <c:strRef>
              <c:f>'Hiring Rate comparison'!$A$50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'Hiring Rate comparison'!$B$48:$AK$48</c:f>
            </c:strRef>
          </c:cat>
          <c:val>
            <c:numRef>
              <c:f>'Hiring Rate comparison'!$B$50:$AK$50</c:f>
              <c:numCache/>
            </c:numRef>
          </c:val>
          <c:smooth val="0"/>
        </c:ser>
        <c:axId val="1643115121"/>
        <c:axId val="744732178"/>
      </c:lineChart>
      <c:catAx>
        <c:axId val="1643115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4732178"/>
      </c:catAx>
      <c:valAx>
        <c:axId val="744732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3115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MRR Growth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'Hiring Rate comparison'!$A$54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'Hiring Rate comparison'!$B$53:$AK$53</c:f>
            </c:strRef>
          </c:cat>
          <c:val>
            <c:numRef>
              <c:f>'Hiring Rate comparison'!$B$54:$AK$54</c:f>
              <c:numCache/>
            </c:numRef>
          </c:val>
          <c:smooth val="0"/>
        </c:ser>
        <c:ser>
          <c:idx val="1"/>
          <c:order val="1"/>
          <c:tx>
            <c:strRef>
              <c:f>'Hiring Rate comparison'!$A$55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'Hiring Rate comparison'!$B$53:$AK$53</c:f>
            </c:strRef>
          </c:cat>
          <c:val>
            <c:numRef>
              <c:f>'Hiring Rate comparison'!$B$55:$AK$55</c:f>
              <c:numCache/>
            </c:numRef>
          </c:val>
          <c:smooth val="0"/>
        </c:ser>
        <c:axId val="464485384"/>
        <c:axId val="1727954152"/>
      </c:lineChart>
      <c:catAx>
        <c:axId val="464485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7954152"/>
      </c:catAx>
      <c:valAx>
        <c:axId val="1727954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4485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Net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'Hiring Rate comparison'!$A$59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'Hiring Rate comparison'!$B$58:$AK$58</c:f>
            </c:strRef>
          </c:cat>
          <c:val>
            <c:numRef>
              <c:f>'Hiring Rate comparison'!$B$59:$AK$59</c:f>
              <c:numCache/>
            </c:numRef>
          </c:val>
          <c:smooth val="0"/>
        </c:ser>
        <c:ser>
          <c:idx val="1"/>
          <c:order val="1"/>
          <c:tx>
            <c:strRef>
              <c:f>'Hiring Rate comparison'!$A$60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'Hiring Rate comparison'!$B$58:$AK$58</c:f>
            </c:strRef>
          </c:cat>
          <c:val>
            <c:numRef>
              <c:f>'Hiring Rate comparison'!$B$60:$AK$60</c:f>
              <c:numCache/>
            </c:numRef>
          </c:val>
          <c:smooth val="0"/>
        </c:ser>
        <c:axId val="875134049"/>
        <c:axId val="1408466846"/>
      </c:lineChart>
      <c:catAx>
        <c:axId val="875134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8466846"/>
      </c:catAx>
      <c:valAx>
        <c:axId val="1408466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5134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Cumulative Net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'Hiring Rate comparison'!$A$64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'Hiring Rate comparison'!$B$63:$AK$63</c:f>
            </c:strRef>
          </c:cat>
          <c:val>
            <c:numRef>
              <c:f>'Hiring Rate comparison'!$B$64:$AK$64</c:f>
              <c:numCache/>
            </c:numRef>
          </c:val>
          <c:smooth val="0"/>
        </c:ser>
        <c:ser>
          <c:idx val="1"/>
          <c:order val="1"/>
          <c:tx>
            <c:strRef>
              <c:f>'Hiring Rate comparison'!$A$65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'Hiring Rate comparison'!$B$63:$AK$63</c:f>
            </c:strRef>
          </c:cat>
          <c:val>
            <c:numRef>
              <c:f>'Hiring Rate comparison'!$B$65:$AK$65</c:f>
              <c:numCache/>
            </c:numRef>
          </c:val>
          <c:smooth val="0"/>
        </c:ser>
        <c:axId val="1284496517"/>
        <c:axId val="1010233006"/>
      </c:lineChart>
      <c:catAx>
        <c:axId val="1284496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0233006"/>
      </c:catAx>
      <c:valAx>
        <c:axId val="1010233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4496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Net profit - New Sales Hire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'Churn Rate Comparison'!$A$85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Comparison'!$B$84:$Y$84</c:f>
            </c:strRef>
          </c:cat>
          <c:val>
            <c:numRef>
              <c:f>'Churn Rate Comparison'!$B$85:$Y$85</c:f>
              <c:numCache/>
            </c:numRef>
          </c:val>
          <c:smooth val="0"/>
        </c:ser>
        <c:axId val="1651683422"/>
        <c:axId val="1510021324"/>
      </c:lineChart>
      <c:catAx>
        <c:axId val="1651683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0021324"/>
      </c:catAx>
      <c:valAx>
        <c:axId val="1510021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1683422"/>
      </c:valAx>
    </c:plotArea>
    <c:plotVisOnly val="0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Cumulative Net Profit - New Sales Hire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'Churn Rate Comparison'!$A$86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Comparison'!$B$84:$AK$84</c:f>
            </c:strRef>
          </c:cat>
          <c:val>
            <c:numRef>
              <c:f>'Churn Rate Comparison'!$B$86:$AK$86</c:f>
              <c:numCache/>
            </c:numRef>
          </c:val>
          <c:smooth val="0"/>
        </c:ser>
        <c:axId val="2003754000"/>
        <c:axId val="1528787976"/>
      </c:lineChart>
      <c:catAx>
        <c:axId val="200375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8787976"/>
      </c:catAx>
      <c:valAx>
        <c:axId val="1528787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3754000"/>
      </c:valAx>
    </c:plotArea>
    <c:plotVisOnly val="0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'Churn Rate Comparison'!$A$141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Comparison'!$B$140:$Y$140</c:f>
            </c:strRef>
          </c:cat>
          <c:val>
            <c:numRef>
              <c:f>'Churn Rate Comparison'!$B$141:$Y$141</c:f>
              <c:numCache/>
            </c:numRef>
          </c:val>
          <c:smooth val="0"/>
        </c:ser>
        <c:axId val="1787433657"/>
        <c:axId val="131690480"/>
      </c:lineChart>
      <c:catAx>
        <c:axId val="1787433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690480"/>
      </c:catAx>
      <c:valAx>
        <c:axId val="131690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7433657"/>
      </c:valAx>
    </c:plotArea>
    <c:plotVisOnly val="0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'Churn Rate Comparison'!$A$142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Comparison'!$B$140:$Y$140</c:f>
            </c:strRef>
          </c:cat>
          <c:val>
            <c:numRef>
              <c:f>'Churn Rate Comparison'!$B$142:$Y$142</c:f>
              <c:numCache/>
            </c:numRef>
          </c:val>
          <c:smooth val="0"/>
        </c:ser>
        <c:axId val="1267409079"/>
        <c:axId val="266019758"/>
      </c:lineChart>
      <c:catAx>
        <c:axId val="1267409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6019758"/>
      </c:catAx>
      <c:valAx>
        <c:axId val="266019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67409079"/>
      </c:valAx>
    </c:plotArea>
    <c:plotVisOnly val="0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'Churn Rate Comparison'!$A$127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Comparison'!$B$125:$Y$125</c:f>
            </c:strRef>
          </c:cat>
          <c:val>
            <c:numRef>
              <c:f>'Churn Rate Comparison'!$B$127:$Y$127</c:f>
              <c:numCache/>
            </c:numRef>
          </c:val>
          <c:smooth val="0"/>
        </c:ser>
        <c:axId val="2120120494"/>
        <c:axId val="581537578"/>
      </c:lineChart>
      <c:catAx>
        <c:axId val="2120120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1537578"/>
      </c:catAx>
      <c:valAx>
        <c:axId val="581537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0120494"/>
      </c:valAx>
    </c:plotArea>
    <c:plotVisOnly val="0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Growth in MRR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'Churn Rate Comparison'!$A$130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Comparison'!$B$125:$Y$125</c:f>
            </c:strRef>
          </c:cat>
          <c:val>
            <c:numRef>
              <c:f>'Churn Rate Comparison'!$B$130:$Y$130</c:f>
              <c:numCache/>
            </c:numRef>
          </c:val>
          <c:smooth val="0"/>
        </c:ser>
        <c:axId val="761853439"/>
        <c:axId val="1094172986"/>
      </c:lineChart>
      <c:catAx>
        <c:axId val="761853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4172986"/>
      </c:catAx>
      <c:valAx>
        <c:axId val="1094172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1853439"/>
      </c:valAx>
    </c:plotArea>
    <c:plotVisOnly val="0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'Churn Rate Comparison'!$A$142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Comparison'!$B$140:$AK$140</c:f>
            </c:strRef>
          </c:cat>
          <c:val>
            <c:numRef>
              <c:f>'Churn Rate Comparison'!$B$142:$AK$142</c:f>
              <c:numCache/>
            </c:numRef>
          </c:val>
          <c:smooth val="0"/>
        </c:ser>
        <c:axId val="633218492"/>
        <c:axId val="1925928351"/>
      </c:lineChart>
      <c:catAx>
        <c:axId val="633218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5928351"/>
      </c:catAx>
      <c:valAx>
        <c:axId val="1925928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3218492"/>
      </c:valAx>
    </c:plotArea>
    <c:plotVisOnly val="0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'Churn Rate Comparison'!$A$192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Comparison'!$B$191:$Y$191</c:f>
            </c:strRef>
          </c:cat>
          <c:val>
            <c:numRef>
              <c:f>'Churn Rate Comparison'!$B$192:$Y$192</c:f>
              <c:numCache/>
            </c:numRef>
          </c:val>
          <c:smooth val="0"/>
        </c:ser>
        <c:axId val="1289291914"/>
        <c:axId val="703005745"/>
      </c:lineChart>
      <c:catAx>
        <c:axId val="1289291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3005745"/>
      </c:catAx>
      <c:valAx>
        <c:axId val="703005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9291914"/>
      </c:valAx>
    </c:plotArea>
    <c:plotVisOnly val="0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'Churn Rate Comparison'!$A$193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'Churn Rate Comparison'!$B$193:$Y$193</c:f>
              <c:numCache/>
            </c:numRef>
          </c:val>
          <c:smooth val="0"/>
        </c:ser>
        <c:axId val="1768544060"/>
        <c:axId val="1587010563"/>
      </c:lineChart>
      <c:catAx>
        <c:axId val="1768544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7010563"/>
      </c:catAx>
      <c:valAx>
        <c:axId val="1587010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8544060"/>
      </c:valAx>
    </c:plotArea>
    <c:plotVisOnly val="0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'Churn Rate Comparison'!$A$221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Comparison'!$B$220:$AK$220</c:f>
            </c:strRef>
          </c:cat>
          <c:val>
            <c:numRef>
              <c:f>'Churn Rate Comparison'!$B$221:$AK$221</c:f>
              <c:numCache/>
            </c:numRef>
          </c:val>
          <c:smooth val="0"/>
        </c:ser>
        <c:axId val="994698359"/>
        <c:axId val="1304658956"/>
      </c:lineChart>
      <c:catAx>
        <c:axId val="994698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4658956"/>
      </c:catAx>
      <c:valAx>
        <c:axId val="1304658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4698359"/>
      </c:valAx>
    </c:plotArea>
    <c:plotVisOnly val="0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'Churn Rate Comparison'!$A$222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Comparison'!$B$220:$AK$220</c:f>
            </c:strRef>
          </c:cat>
          <c:val>
            <c:numRef>
              <c:f>'Churn Rate Comparison'!$B$222:$AK$222</c:f>
              <c:numCache/>
            </c:numRef>
          </c:val>
          <c:smooth val="0"/>
        </c:ser>
        <c:axId val="11066148"/>
        <c:axId val="908485407"/>
      </c:lineChart>
      <c:catAx>
        <c:axId val="11066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8485407"/>
      </c:catAx>
      <c:valAx>
        <c:axId val="908485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66148"/>
      </c:valAx>
    </c:plotArea>
    <c:plotVisOnly val="0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MRR - Single Sales Hire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'Churn Rate Comparison'!$A$68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val>
            <c:numRef>
              <c:f>'Churn Rate Comparison'!$B$68:$M$68</c:f>
              <c:numCache/>
            </c:numRef>
          </c:val>
        </c:ser>
        <c:ser>
          <c:idx val="1"/>
          <c:order val="1"/>
          <c:tx>
            <c:strRef>
              <c:f>'Churn Rate Comparison'!$A$69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val>
            <c:numRef>
              <c:f>'Churn Rate Comparison'!$B$69:$M$69</c:f>
              <c:numCache/>
            </c:numRef>
          </c:val>
        </c:ser>
        <c:ser>
          <c:idx val="2"/>
          <c:order val="2"/>
          <c:tx>
            <c:strRef>
              <c:f>'Churn Rate Comparison'!$A$70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val>
            <c:numRef>
              <c:f>'Churn Rate Comparison'!$B$70:$M$70</c:f>
              <c:numCache/>
            </c:numRef>
          </c:val>
        </c:ser>
        <c:overlap val="100"/>
        <c:axId val="275658930"/>
        <c:axId val="611439132"/>
      </c:barChart>
      <c:catAx>
        <c:axId val="275658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1439132"/>
      </c:catAx>
      <c:valAx>
        <c:axId val="611439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5658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Bookings &amp; Churn - Single Sales Hire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'Churn Rate Comparison'!$A$68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val>
            <c:numRef>
              <c:f>'Churn Rate Comparison'!$B$68:$M$68</c:f>
              <c:numCache/>
            </c:numRef>
          </c:val>
        </c:ser>
        <c:ser>
          <c:idx val="1"/>
          <c:order val="1"/>
          <c:tx>
            <c:strRef>
              <c:f>'Churn Rate Comparison'!$A$70</c:f>
            </c:strRef>
          </c:tx>
          <c:spPr>
            <a:solidFill>
              <a:srgbClr val="DC3912"/>
            </a:solidFill>
            <a:ln cmpd="sng">
              <a:solidFill>
                <a:srgbClr val="000000"/>
              </a:solidFill>
            </a:ln>
          </c:spPr>
          <c:val>
            <c:numRef>
              <c:f>'Churn Rate Comparison'!$B$70:$M$70</c:f>
              <c:numCache/>
            </c:numRef>
          </c:val>
        </c:ser>
        <c:overlap val="100"/>
        <c:axId val="1899287878"/>
        <c:axId val="454795468"/>
      </c:barChart>
      <c:catAx>
        <c:axId val="1899287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4795468"/>
      </c:catAx>
      <c:valAx>
        <c:axId val="454795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9287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MRR Versus Expenses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'Churn Rate Comparison'!$A$71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Comparison'!$B$65:$M$65</c:f>
            </c:strRef>
          </c:cat>
          <c:val>
            <c:numRef>
              <c:f>'Churn Rate Comparison'!$B$71:$M$71</c:f>
              <c:numCache/>
            </c:numRef>
          </c:val>
          <c:smooth val="0"/>
        </c:ser>
        <c:ser>
          <c:idx val="1"/>
          <c:order val="1"/>
          <c:tx>
            <c:strRef>
              <c:f>'Churn Rate Comparison'!$A$81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'Churn Rate Comparison'!$B$65:$M$65</c:f>
            </c:strRef>
          </c:cat>
          <c:val>
            <c:numRef>
              <c:f>'Churn Rate Comparison'!$B$81:$M$81</c:f>
              <c:numCache/>
            </c:numRef>
          </c:val>
          <c:smooth val="0"/>
        </c:ser>
        <c:axId val="617252794"/>
        <c:axId val="1303146374"/>
      </c:lineChart>
      <c:catAx>
        <c:axId val="617252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3146374"/>
      </c:catAx>
      <c:valAx>
        <c:axId val="1303146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7252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Cashflow comparison - monthly payments vs year in advance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'Churn Rate Comparison'!$A$85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Comparison'!$B$84:$Y$84</c:f>
            </c:strRef>
          </c:cat>
          <c:val>
            <c:numRef>
              <c:f>'Churn Rate Comparison'!$B$85:$Y$85</c:f>
              <c:numCache/>
            </c:numRef>
          </c:val>
          <c:smooth val="0"/>
        </c:ser>
        <c:ser>
          <c:idx val="1"/>
          <c:order val="1"/>
          <c:tx>
            <c:strRef>
              <c:f>'Churn Rate Comparison'!$A$192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'Churn Rate Comparison'!$B$84:$Y$84</c:f>
            </c:strRef>
          </c:cat>
          <c:val>
            <c:numRef>
              <c:f>'Churn Rate Comparison'!$B$192:$Y$192</c:f>
              <c:numCache/>
            </c:numRef>
          </c:val>
          <c:smooth val="0"/>
        </c:ser>
        <c:axId val="1203944886"/>
        <c:axId val="486461683"/>
      </c:lineChart>
      <c:catAx>
        <c:axId val="1203944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6461683"/>
      </c:catAx>
      <c:valAx>
        <c:axId val="486461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03944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Cumulative Cashflow comparision -  monthly payments vs year in advance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'Churn Rate Comparison'!$A$142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Comparison'!$B$140:$AK$140</c:f>
            </c:strRef>
          </c:cat>
          <c:val>
            <c:numRef>
              <c:f>'Churn Rate Comparison'!$B$142:$AK$142</c:f>
              <c:numCache/>
            </c:numRef>
          </c:val>
          <c:smooth val="0"/>
        </c:ser>
        <c:ser>
          <c:idx val="1"/>
          <c:order val="1"/>
          <c:tx>
            <c:strRef>
              <c:f>'Churn Rate Comparison'!$A$222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'Churn Rate Comparison'!$B$140:$AK$140</c:f>
            </c:strRef>
          </c:cat>
          <c:val>
            <c:numRef>
              <c:f>'Churn Rate Comparison'!$B$222:$AK$222</c:f>
              <c:numCache/>
            </c:numRef>
          </c:val>
          <c:smooth val="0"/>
        </c:ser>
        <c:axId val="1675958961"/>
        <c:axId val="1075290442"/>
      </c:lineChart>
      <c:catAx>
        <c:axId val="1675958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5290442"/>
      </c:catAx>
      <c:valAx>
        <c:axId val="1075290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75958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Cumulative Cashflow comparision -  monthly payments vs year in advance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'Churn Rate Comparison'!$A$86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Comparison'!$B$84:$Y$84</c:f>
            </c:strRef>
          </c:cat>
          <c:val>
            <c:numRef>
              <c:f>'Churn Rate Comparison'!$B$86:$Y$86</c:f>
              <c:numCache/>
            </c:numRef>
          </c:val>
          <c:smooth val="0"/>
        </c:ser>
        <c:ser>
          <c:idx val="1"/>
          <c:order val="1"/>
          <c:tx>
            <c:strRef>
              <c:f>'Churn Rate Comparison'!$A$193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'Churn Rate Comparison'!$B$84:$Y$84</c:f>
            </c:strRef>
          </c:cat>
          <c:val>
            <c:numRef>
              <c:f>'Churn Rate Comparison'!$B$193:$Y$193</c:f>
              <c:numCache/>
            </c:numRef>
          </c:val>
          <c:smooth val="0"/>
        </c:ser>
        <c:axId val="1786291237"/>
        <c:axId val="2055933578"/>
      </c:lineChart>
      <c:catAx>
        <c:axId val="1786291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5933578"/>
      </c:catAx>
      <c:valAx>
        <c:axId val="2055933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62912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Cashflow comparison - monthly payments vs year in advance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'Churn Rate Comparison'!$A$141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Comparison'!$B$140:$AK$140</c:f>
            </c:strRef>
          </c:cat>
          <c:val>
            <c:numRef>
              <c:f>'Churn Rate Comparison'!$B$141:$AK$141</c:f>
              <c:numCache/>
            </c:numRef>
          </c:val>
          <c:smooth val="0"/>
        </c:ser>
        <c:ser>
          <c:idx val="1"/>
          <c:order val="1"/>
          <c:tx>
            <c:strRef>
              <c:f>'Churn Rate Comparison'!$A$221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'Churn Rate Comparison'!$B$140:$AK$140</c:f>
            </c:strRef>
          </c:cat>
          <c:val>
            <c:numRef>
              <c:f>'Churn Rate Comparison'!$B$221:$AK$221</c:f>
              <c:numCache/>
            </c:numRef>
          </c:val>
          <c:smooth val="0"/>
        </c:ser>
        <c:axId val="356724416"/>
        <c:axId val="978161726"/>
      </c:lineChart>
      <c:catAx>
        <c:axId val="35672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8161726"/>
      </c:catAx>
      <c:valAx>
        <c:axId val="978161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6724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'Churn Rate Comparison'!$A$6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Comparison'!$B$5:$AK$5</c:f>
            </c:strRef>
          </c:cat>
          <c:val>
            <c:numRef>
              <c:f>'Churn Rate Comparison'!$B$6:$AK$6</c:f>
              <c:numCache/>
            </c:numRef>
          </c:val>
          <c:smooth val="0"/>
        </c:ser>
        <c:ser>
          <c:idx val="1"/>
          <c:order val="1"/>
          <c:tx>
            <c:strRef>
              <c:f>'Churn Rate Comparison'!$A$7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'Churn Rate Comparison'!$B$5:$AK$5</c:f>
            </c:strRef>
          </c:cat>
          <c:val>
            <c:numRef>
              <c:f>'Churn Rate Comparison'!$B$7:$AK$7</c:f>
              <c:numCache/>
            </c:numRef>
          </c:val>
          <c:smooth val="0"/>
        </c:ser>
        <c:axId val="2061869826"/>
        <c:axId val="933055525"/>
      </c:lineChart>
      <c:catAx>
        <c:axId val="2061869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3055525"/>
      </c:catAx>
      <c:valAx>
        <c:axId val="933055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1869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'Churn Rate Comparison'!$A$11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'Churn Rate Comparison'!$B$10:$AK$10</c:f>
            </c:strRef>
          </c:cat>
          <c:val>
            <c:numRef>
              <c:f>'Churn Rate Comparison'!$B$11:$AK$11</c:f>
              <c:numCache/>
            </c:numRef>
          </c:val>
          <c:smooth val="0"/>
        </c:ser>
        <c:ser>
          <c:idx val="1"/>
          <c:order val="1"/>
          <c:tx>
            <c:strRef>
              <c:f>'Churn Rate Comparison'!$A$12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'Churn Rate Comparison'!$B$10:$AK$10</c:f>
            </c:strRef>
          </c:cat>
          <c:val>
            <c:numRef>
              <c:f>'Churn Rate Comparison'!$B$12:$AK$12</c:f>
              <c:numCache/>
            </c:numRef>
          </c:val>
          <c:smooth val="0"/>
        </c:ser>
        <c:axId val="1869520514"/>
        <c:axId val="1906384730"/>
      </c:lineChart>
      <c:catAx>
        <c:axId val="1869520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6384730"/>
      </c:catAx>
      <c:valAx>
        <c:axId val="1906384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9520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chart" Target="../charts/chart42.xml"/><Relationship Id="rId11" Type="http://schemas.openxmlformats.org/officeDocument/2006/relationships/chart" Target="../charts/chart33.xml"/><Relationship Id="rId10" Type="http://schemas.openxmlformats.org/officeDocument/2006/relationships/chart" Target="../charts/chart32.xml"/><Relationship Id="rId13" Type="http://schemas.openxmlformats.org/officeDocument/2006/relationships/chart" Target="../charts/chart35.xml"/><Relationship Id="rId12" Type="http://schemas.openxmlformats.org/officeDocument/2006/relationships/chart" Target="../charts/chart34.xml"/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5" Type="http://schemas.openxmlformats.org/officeDocument/2006/relationships/chart" Target="../charts/chart37.xml"/><Relationship Id="rId14" Type="http://schemas.openxmlformats.org/officeDocument/2006/relationships/chart" Target="../charts/chart36.xml"/><Relationship Id="rId17" Type="http://schemas.openxmlformats.org/officeDocument/2006/relationships/chart" Target="../charts/chart39.xml"/><Relationship Id="rId16" Type="http://schemas.openxmlformats.org/officeDocument/2006/relationships/chart" Target="../charts/chart38.xml"/><Relationship Id="rId5" Type="http://schemas.openxmlformats.org/officeDocument/2006/relationships/chart" Target="../charts/chart27.xml"/><Relationship Id="rId19" Type="http://schemas.openxmlformats.org/officeDocument/2006/relationships/chart" Target="../charts/chart41.xml"/><Relationship Id="rId6" Type="http://schemas.openxmlformats.org/officeDocument/2006/relationships/chart" Target="../charts/chart28.xml"/><Relationship Id="rId18" Type="http://schemas.openxmlformats.org/officeDocument/2006/relationships/chart" Target="../charts/chart40.xml"/><Relationship Id="rId7" Type="http://schemas.openxmlformats.org/officeDocument/2006/relationships/chart" Target="../charts/chart29.xml"/><Relationship Id="rId8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847725</xdr:colOff>
      <xdr:row>58</xdr:row>
      <xdr:rowOff>171450</xdr:rowOff>
    </xdr:from>
    <xdr:ext cx="5181600" cy="24574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695325</xdr:colOff>
      <xdr:row>58</xdr:row>
      <xdr:rowOff>161925</xdr:rowOff>
    </xdr:from>
    <xdr:ext cx="5257800" cy="24574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115</xdr:row>
      <xdr:rowOff>38100</xdr:rowOff>
    </xdr:from>
    <xdr:ext cx="3867150" cy="2476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95250</xdr:colOff>
      <xdr:row>115</xdr:row>
      <xdr:rowOff>76200</xdr:rowOff>
    </xdr:from>
    <xdr:ext cx="4533900" cy="2476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130</xdr:row>
      <xdr:rowOff>161925</xdr:rowOff>
    </xdr:from>
    <xdr:ext cx="3867150" cy="24574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95250</xdr:colOff>
      <xdr:row>131</xdr:row>
      <xdr:rowOff>9525</xdr:rowOff>
    </xdr:from>
    <xdr:ext cx="4581525" cy="2476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0</xdr:colOff>
      <xdr:row>115</xdr:row>
      <xdr:rowOff>76200</xdr:rowOff>
    </xdr:from>
    <xdr:ext cx="5695950" cy="24765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76200</xdr:colOff>
      <xdr:row>166</xdr:row>
      <xdr:rowOff>0</xdr:rowOff>
    </xdr:from>
    <xdr:ext cx="4343400" cy="2476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685800</xdr:colOff>
      <xdr:row>165</xdr:row>
      <xdr:rowOff>171450</xdr:rowOff>
    </xdr:from>
    <xdr:ext cx="5753100" cy="24574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194</xdr:row>
      <xdr:rowOff>152400</xdr:rowOff>
    </xdr:from>
    <xdr:ext cx="4248150" cy="24574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533400</xdr:colOff>
      <xdr:row>194</xdr:row>
      <xdr:rowOff>161925</xdr:rowOff>
    </xdr:from>
    <xdr:ext cx="5638800" cy="24574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</xdr:col>
      <xdr:colOff>95250</xdr:colOff>
      <xdr:row>58</xdr:row>
      <xdr:rowOff>161925</xdr:rowOff>
    </xdr:from>
    <xdr:ext cx="5448300" cy="24574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76200</xdr:colOff>
      <xdr:row>58</xdr:row>
      <xdr:rowOff>161925</xdr:rowOff>
    </xdr:from>
    <xdr:ext cx="3867150" cy="245745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9</xdr:col>
      <xdr:colOff>581025</xdr:colOff>
      <xdr:row>58</xdr:row>
      <xdr:rowOff>171450</xdr:rowOff>
    </xdr:from>
    <xdr:ext cx="5400675" cy="245745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10</xdr:col>
      <xdr:colOff>581025</xdr:colOff>
      <xdr:row>165</xdr:row>
      <xdr:rowOff>171450</xdr:rowOff>
    </xdr:from>
    <xdr:ext cx="5400675" cy="245745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16</xdr:col>
      <xdr:colOff>133350</xdr:colOff>
      <xdr:row>195</xdr:row>
      <xdr:rowOff>57150</xdr:rowOff>
    </xdr:from>
    <xdr:ext cx="5514975" cy="247650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15</xdr:col>
      <xdr:colOff>847725</xdr:colOff>
      <xdr:row>166</xdr:row>
      <xdr:rowOff>0</xdr:rowOff>
    </xdr:from>
    <xdr:ext cx="5476875" cy="247650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10</xdr:col>
      <xdr:colOff>457200</xdr:colOff>
      <xdr:row>195</xdr:row>
      <xdr:rowOff>0</xdr:rowOff>
    </xdr:from>
    <xdr:ext cx="5400675" cy="247650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66</xdr:row>
      <xdr:rowOff>0</xdr:rowOff>
    </xdr:from>
    <xdr:ext cx="4524375" cy="247650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209550</xdr:colOff>
      <xdr:row>66</xdr:row>
      <xdr:rowOff>0</xdr:rowOff>
    </xdr:from>
    <xdr:ext cx="5505450" cy="247650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66</xdr:row>
      <xdr:rowOff>0</xdr:rowOff>
    </xdr:from>
    <xdr:ext cx="5400675" cy="247650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361950</xdr:colOff>
      <xdr:row>66</xdr:row>
      <xdr:rowOff>0</xdr:rowOff>
    </xdr:from>
    <xdr:ext cx="5438775" cy="247650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847725</xdr:colOff>
      <xdr:row>86</xdr:row>
      <xdr:rowOff>171450</xdr:rowOff>
    </xdr:from>
    <xdr:ext cx="5181600" cy="245745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695325</xdr:colOff>
      <xdr:row>86</xdr:row>
      <xdr:rowOff>161925</xdr:rowOff>
    </xdr:from>
    <xdr:ext cx="5257800" cy="245745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143</xdr:row>
      <xdr:rowOff>38100</xdr:rowOff>
    </xdr:from>
    <xdr:ext cx="3857625" cy="247650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95250</xdr:colOff>
      <xdr:row>143</xdr:row>
      <xdr:rowOff>76200</xdr:rowOff>
    </xdr:from>
    <xdr:ext cx="4533900" cy="247650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158</xdr:row>
      <xdr:rowOff>161925</xdr:rowOff>
    </xdr:from>
    <xdr:ext cx="3857625" cy="2457450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95250</xdr:colOff>
      <xdr:row>159</xdr:row>
      <xdr:rowOff>9525</xdr:rowOff>
    </xdr:from>
    <xdr:ext cx="4581525" cy="2476500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0</xdr:colOff>
      <xdr:row>143</xdr:row>
      <xdr:rowOff>76200</xdr:rowOff>
    </xdr:from>
    <xdr:ext cx="5695950" cy="2476500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76200</xdr:colOff>
      <xdr:row>194</xdr:row>
      <xdr:rowOff>0</xdr:rowOff>
    </xdr:from>
    <xdr:ext cx="4333875" cy="247650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685800</xdr:colOff>
      <xdr:row>193</xdr:row>
      <xdr:rowOff>171450</xdr:rowOff>
    </xdr:from>
    <xdr:ext cx="5753100" cy="2457450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222</xdr:row>
      <xdr:rowOff>152400</xdr:rowOff>
    </xdr:from>
    <xdr:ext cx="4238625" cy="2457450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533400</xdr:colOff>
      <xdr:row>222</xdr:row>
      <xdr:rowOff>161925</xdr:rowOff>
    </xdr:from>
    <xdr:ext cx="5638800" cy="2457450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</xdr:col>
      <xdr:colOff>95250</xdr:colOff>
      <xdr:row>86</xdr:row>
      <xdr:rowOff>161925</xdr:rowOff>
    </xdr:from>
    <xdr:ext cx="5448300" cy="2457450"/>
    <xdr:graphicFrame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76200</xdr:colOff>
      <xdr:row>86</xdr:row>
      <xdr:rowOff>161925</xdr:rowOff>
    </xdr:from>
    <xdr:ext cx="3857625" cy="2457450"/>
    <xdr:graphicFrame>
      <xdr:nvGraphicFramePr>
        <xdr:cNvPr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9</xdr:col>
      <xdr:colOff>581025</xdr:colOff>
      <xdr:row>86</xdr:row>
      <xdr:rowOff>171450</xdr:rowOff>
    </xdr:from>
    <xdr:ext cx="5400675" cy="2457450"/>
    <xdr:graphicFrame>
      <xdr:nvGraphicFramePr>
        <xdr:cNvPr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10</xdr:col>
      <xdr:colOff>581025</xdr:colOff>
      <xdr:row>193</xdr:row>
      <xdr:rowOff>171450</xdr:rowOff>
    </xdr:from>
    <xdr:ext cx="5400675" cy="2457450"/>
    <xdr:graphicFrame>
      <xdr:nvGraphicFramePr>
        <xdr:cNvPr id="3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16</xdr:col>
      <xdr:colOff>133350</xdr:colOff>
      <xdr:row>223</xdr:row>
      <xdr:rowOff>57150</xdr:rowOff>
    </xdr:from>
    <xdr:ext cx="5514975" cy="2476500"/>
    <xdr:graphicFrame>
      <xdr:nvGraphicFramePr>
        <xdr:cNvPr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15</xdr:col>
      <xdr:colOff>847725</xdr:colOff>
      <xdr:row>194</xdr:row>
      <xdr:rowOff>0</xdr:rowOff>
    </xdr:from>
    <xdr:ext cx="5476875" cy="2476500"/>
    <xdr:graphicFrame>
      <xdr:nvGraphicFramePr>
        <xdr:cNvPr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10</xdr:col>
      <xdr:colOff>457200</xdr:colOff>
      <xdr:row>223</xdr:row>
      <xdr:rowOff>0</xdr:rowOff>
    </xdr:from>
    <xdr:ext cx="5400675" cy="2476500"/>
    <xdr:graphicFrame>
      <xdr:nvGraphicFramePr>
        <xdr:cNvPr id="4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152400</xdr:rowOff>
    </xdr:from>
    <xdr:ext cx="3857625" cy="2457450"/>
    <xdr:graphicFrame>
      <xdr:nvGraphicFramePr>
        <xdr:cNvPr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4</xdr:col>
      <xdr:colOff>381000</xdr:colOff>
      <xdr:row>14</xdr:row>
      <xdr:rowOff>0</xdr:rowOff>
    </xdr:from>
    <xdr:ext cx="5448300" cy="2476500"/>
    <xdr:graphicFrame>
      <xdr:nvGraphicFramePr>
        <xdr:cNvPr id="4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2.0"/>
    <col customWidth="1" min="2" max="2" width="13.75"/>
    <col customWidth="1" min="3" max="3" width="12.25"/>
    <col customWidth="1" min="4" max="4" width="12.13"/>
    <col customWidth="1" min="5" max="6" width="13.13"/>
    <col customWidth="1" min="7" max="7" width="12.13"/>
    <col customWidth="1" min="8" max="17" width="13.88"/>
    <col customWidth="1" min="18" max="37" width="14.63"/>
  </cols>
  <sheetData>
    <row r="1" ht="26.25" customHeight="1">
      <c r="A1" s="1" t="s">
        <v>0</v>
      </c>
      <c r="B1" s="2"/>
      <c r="C1" s="2"/>
      <c r="D1" s="2"/>
      <c r="E1" s="2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15.0" customHeight="1">
      <c r="A2" s="5"/>
      <c r="B2" s="5"/>
      <c r="C2" s="5"/>
      <c r="D2" s="5"/>
      <c r="E2" s="5"/>
      <c r="F2" s="3"/>
      <c r="G2" s="3"/>
      <c r="H2" s="6" t="s">
        <v>1</v>
      </c>
      <c r="I2" s="7"/>
      <c r="J2" s="8" t="s">
        <v>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ht="13.5" customHeight="1">
      <c r="A3" s="3"/>
      <c r="B3" s="3"/>
      <c r="C3" s="3"/>
      <c r="D3" s="3"/>
      <c r="E3" s="3"/>
      <c r="F3" s="3"/>
      <c r="G3" s="3"/>
      <c r="H3" s="3"/>
      <c r="I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ht="36.75" customHeight="1">
      <c r="A4" s="10" t="s">
        <v>3</v>
      </c>
      <c r="B4" s="11"/>
      <c r="C4" s="11"/>
      <c r="D4" s="11"/>
      <c r="E4" s="1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15.75" customHeight="1">
      <c r="A5" s="12" t="s">
        <v>4</v>
      </c>
      <c r="B5" s="13"/>
      <c r="C5" s="5"/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ht="13.5" customHeight="1">
      <c r="A6" s="14" t="s">
        <v>5</v>
      </c>
      <c r="B6" s="15">
        <v>50000.0</v>
      </c>
      <c r="C6" s="1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ht="13.5" customHeight="1">
      <c r="A7" s="17" t="s">
        <v>6</v>
      </c>
      <c r="B7" s="18">
        <v>55000.0</v>
      </c>
      <c r="C7" s="19" t="s">
        <v>7</v>
      </c>
      <c r="D7" s="4"/>
      <c r="E7" s="4"/>
      <c r="F7" s="4"/>
      <c r="G7" s="4"/>
      <c r="H7" s="4"/>
      <c r="I7" s="4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ht="13.5" customHeight="1">
      <c r="A8" s="17" t="s">
        <v>8</v>
      </c>
      <c r="B8" s="20">
        <v>1.0</v>
      </c>
      <c r="C8" s="20">
        <v>0.7</v>
      </c>
      <c r="D8" s="20">
        <v>0.3</v>
      </c>
      <c r="E8" s="20">
        <v>0.0</v>
      </c>
      <c r="F8" s="20">
        <v>0.0</v>
      </c>
      <c r="G8" s="20">
        <v>0.0</v>
      </c>
      <c r="H8" s="20">
        <v>0.0</v>
      </c>
      <c r="I8" s="20">
        <v>0.0</v>
      </c>
      <c r="J8" s="20">
        <v>0.0</v>
      </c>
      <c r="K8" s="1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ht="13.5" customHeight="1">
      <c r="A9" s="17" t="s">
        <v>9</v>
      </c>
      <c r="B9" s="20">
        <v>0.1</v>
      </c>
      <c r="C9" s="20">
        <v>0.33</v>
      </c>
      <c r="D9" s="20">
        <v>0.66</v>
      </c>
      <c r="E9" s="20">
        <v>1.0</v>
      </c>
      <c r="F9" s="20">
        <v>1.0</v>
      </c>
      <c r="G9" s="20">
        <v>1.0</v>
      </c>
      <c r="H9" s="20">
        <v>1.0</v>
      </c>
      <c r="I9" s="20">
        <v>1.0</v>
      </c>
      <c r="J9" s="20">
        <v>1.0</v>
      </c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ht="13.5" customHeight="1">
      <c r="A10" s="17" t="s">
        <v>10</v>
      </c>
      <c r="B10" s="18">
        <v>30000.0</v>
      </c>
      <c r="C10" s="21"/>
      <c r="D10" s="9"/>
      <c r="E10" s="9"/>
      <c r="F10" s="9"/>
      <c r="G10" s="9"/>
      <c r="H10" s="9"/>
      <c r="I10" s="9"/>
      <c r="J10" s="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ht="13.5" customHeight="1">
      <c r="A11" s="17" t="s">
        <v>11</v>
      </c>
      <c r="B11" s="20">
        <v>0.15</v>
      </c>
      <c r="C11" s="8" t="s">
        <v>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ht="13.5" customHeight="1">
      <c r="A12" s="3"/>
      <c r="B12" s="2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ht="15.0" customHeight="1">
      <c r="A13" s="23" t="s">
        <v>13</v>
      </c>
      <c r="B13" s="2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ht="13.5" customHeight="1">
      <c r="A14" s="14" t="s">
        <v>14</v>
      </c>
      <c r="B14" s="25">
        <v>500000.0</v>
      </c>
      <c r="C14" s="8" t="s">
        <v>15</v>
      </c>
      <c r="D14" s="2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ht="13.5" customHeight="1">
      <c r="A15" s="27" t="s">
        <v>16</v>
      </c>
      <c r="B15" s="28">
        <f t="shared" ref="B15:B16" si="1">B14/12</f>
        <v>41666.66667</v>
      </c>
      <c r="C15" s="27" t="s">
        <v>15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ht="13.5" customHeight="1">
      <c r="A16" s="27" t="s">
        <v>16</v>
      </c>
      <c r="B16" s="29">
        <f t="shared" si="1"/>
        <v>3472.222222</v>
      </c>
      <c r="C16" s="27" t="s">
        <v>17</v>
      </c>
      <c r="D16" s="3"/>
      <c r="E16" s="3"/>
      <c r="F16" s="3"/>
      <c r="G16" s="3"/>
      <c r="H16" s="30" t="s">
        <v>18</v>
      </c>
      <c r="I16" s="31"/>
      <c r="J16" s="31"/>
      <c r="K16" s="31"/>
      <c r="L16" s="3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ht="13.5" customHeight="1">
      <c r="A17" s="3"/>
      <c r="B17" s="29"/>
      <c r="C17" s="3"/>
      <c r="D17" s="3"/>
      <c r="E17" s="3"/>
      <c r="F17" s="3"/>
      <c r="G17" s="32"/>
      <c r="H17" s="20">
        <v>0.5</v>
      </c>
      <c r="I17" s="33" t="s">
        <v>19</v>
      </c>
      <c r="J17" s="34"/>
      <c r="K17" s="34"/>
      <c r="L17" s="3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ht="15.0" customHeight="1">
      <c r="A18" s="23" t="s">
        <v>20</v>
      </c>
      <c r="B18" s="35"/>
      <c r="C18" s="3"/>
      <c r="D18" s="3"/>
      <c r="E18" s="3"/>
      <c r="F18" s="3"/>
      <c r="G18" s="32"/>
      <c r="H18" s="36">
        <v>1.5</v>
      </c>
      <c r="I18" s="33" t="s">
        <v>21</v>
      </c>
      <c r="J18" s="34"/>
      <c r="K18" s="34"/>
      <c r="L18" s="3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ht="13.5" customHeight="1">
      <c r="A19" s="14" t="s">
        <v>22</v>
      </c>
      <c r="B19" s="37">
        <v>0.025</v>
      </c>
      <c r="C19" s="16"/>
      <c r="D19" s="3"/>
      <c r="E19" s="3"/>
      <c r="F19" s="3"/>
      <c r="G19" s="3"/>
      <c r="H19" s="38">
        <f>H18*(1-H17)</f>
        <v>0.75</v>
      </c>
      <c r="I19" s="39" t="s">
        <v>23</v>
      </c>
      <c r="J19" s="34"/>
      <c r="K19" s="34"/>
      <c r="L19" s="3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ht="13.5" customHeight="1">
      <c r="A20" s="17" t="s">
        <v>24</v>
      </c>
      <c r="B20" s="40">
        <v>0.8</v>
      </c>
      <c r="C20" s="16"/>
      <c r="D20" s="3"/>
      <c r="E20" s="3"/>
      <c r="F20" s="3"/>
      <c r="G20" s="32"/>
      <c r="H20" s="20">
        <v>0.03</v>
      </c>
      <c r="I20" s="33" t="s">
        <v>25</v>
      </c>
      <c r="J20" s="34"/>
      <c r="K20" s="34"/>
      <c r="L20" s="3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ht="13.5" customHeight="1">
      <c r="A21" s="3"/>
      <c r="B21" s="41"/>
      <c r="C21" s="3"/>
      <c r="D21" s="3"/>
      <c r="E21" s="3"/>
      <c r="F21" s="3"/>
      <c r="G21" s="32"/>
      <c r="H21" s="20">
        <v>0.2</v>
      </c>
      <c r="I21" s="33" t="s">
        <v>26</v>
      </c>
      <c r="J21" s="34"/>
      <c r="K21" s="34"/>
      <c r="L21" s="3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ht="15.0" customHeight="1">
      <c r="A22" s="42" t="s">
        <v>27</v>
      </c>
      <c r="B22" s="43"/>
      <c r="C22" s="43"/>
      <c r="D22" s="43"/>
      <c r="E22" s="43"/>
      <c r="F22" s="43"/>
      <c r="G22" s="3"/>
      <c r="H22" s="44"/>
      <c r="I22" s="34"/>
      <c r="J22" s="34"/>
      <c r="K22" s="34"/>
      <c r="L22" s="3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ht="13.5" customHeight="1">
      <c r="A23" s="45" t="s">
        <v>28</v>
      </c>
      <c r="B23" s="46">
        <v>6000.0</v>
      </c>
      <c r="C23" s="47" t="s">
        <v>29</v>
      </c>
      <c r="D23" s="48"/>
      <c r="E23" s="48"/>
      <c r="F23" s="48"/>
      <c r="G23" s="3"/>
      <c r="H23" s="34"/>
      <c r="I23" s="34"/>
      <c r="J23" s="34"/>
      <c r="K23" s="34"/>
      <c r="L23" s="3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ht="13.5" customHeight="1">
      <c r="A24" s="49" t="s">
        <v>30</v>
      </c>
      <c r="B24" s="50">
        <f>B15/B23</f>
        <v>6.944444444</v>
      </c>
      <c r="C24" s="49" t="s">
        <v>31</v>
      </c>
      <c r="D24" s="51"/>
      <c r="E24" s="51"/>
      <c r="F24" s="51"/>
      <c r="G24" s="3"/>
      <c r="H24" s="39">
        <v>1.0</v>
      </c>
      <c r="I24" s="39" t="s">
        <v>32</v>
      </c>
      <c r="J24" s="34"/>
      <c r="K24" s="34"/>
      <c r="L24" s="3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ht="13.5" customHeight="1">
      <c r="A25" s="52" t="s">
        <v>33</v>
      </c>
      <c r="B25" s="53">
        <v>10.0</v>
      </c>
      <c r="C25" s="54"/>
      <c r="D25" s="51"/>
      <c r="E25" s="51"/>
      <c r="F25" s="51"/>
      <c r="G25" s="3"/>
      <c r="H25" s="55">
        <f>H24/H21</f>
        <v>5</v>
      </c>
      <c r="I25" s="39" t="s">
        <v>34</v>
      </c>
      <c r="J25" s="34"/>
      <c r="K25" s="34"/>
      <c r="L25" s="3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ht="13.5" customHeight="1">
      <c r="A26" s="52" t="s">
        <v>35</v>
      </c>
      <c r="B26" s="56">
        <f>H27</f>
        <v>125.25</v>
      </c>
      <c r="C26" s="54"/>
      <c r="D26" s="51"/>
      <c r="E26" s="51"/>
      <c r="F26" s="51"/>
      <c r="G26" s="3"/>
      <c r="H26" s="55">
        <f>ROUND(H25/H20,0)</f>
        <v>167</v>
      </c>
      <c r="I26" s="39" t="s">
        <v>36</v>
      </c>
      <c r="J26" s="34"/>
      <c r="K26" s="34"/>
      <c r="L26" s="3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ht="13.5" customHeight="1">
      <c r="A27" s="49" t="s">
        <v>37</v>
      </c>
      <c r="B27" s="57">
        <f>B26*B24*B25</f>
        <v>8697.916667</v>
      </c>
      <c r="C27" s="49" t="s">
        <v>38</v>
      </c>
      <c r="D27" s="51"/>
      <c r="E27" s="51"/>
      <c r="F27" s="51"/>
      <c r="G27" s="3"/>
      <c r="H27" s="58">
        <f>H26*H19</f>
        <v>125.25</v>
      </c>
      <c r="I27" s="39" t="s">
        <v>39</v>
      </c>
      <c r="J27" s="34"/>
      <c r="K27" s="34"/>
      <c r="L27" s="3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ht="13.5" customHeight="1">
      <c r="A28" s="3"/>
      <c r="B28" s="29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ht="13.5" customHeight="1">
      <c r="A29" s="3"/>
      <c r="B29" s="2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ht="13.5" customHeight="1">
      <c r="A30" s="59" t="s">
        <v>40</v>
      </c>
      <c r="B30" s="6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ht="13.5" customHeight="1">
      <c r="A31" s="61" t="s">
        <v>41</v>
      </c>
      <c r="B31" s="62">
        <f>B26*B25</f>
        <v>1252.5</v>
      </c>
      <c r="C31" s="27" t="s">
        <v>42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ht="13.5" customHeight="1">
      <c r="A32" s="61" t="s">
        <v>43</v>
      </c>
      <c r="B32" s="62">
        <f>(B6+B7+B10)/12/B24</f>
        <v>1620</v>
      </c>
      <c r="C32" s="27" t="s">
        <v>44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ht="13.5" customHeight="1">
      <c r="A33" s="61" t="s">
        <v>45</v>
      </c>
      <c r="B33" s="62">
        <f>B32+B31</f>
        <v>2872.5</v>
      </c>
      <c r="C33" s="27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ht="13.5" customHeight="1">
      <c r="A34" s="61" t="s">
        <v>47</v>
      </c>
      <c r="B34" s="62">
        <f>B23*B20/12/B19</f>
        <v>16000</v>
      </c>
      <c r="C34" s="27" t="s">
        <v>48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ht="13.5" customHeight="1">
      <c r="A35" s="3"/>
      <c r="B35" s="6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ht="16.5" customHeight="1">
      <c r="A37" s="64" t="s">
        <v>49</v>
      </c>
      <c r="B37" s="65" t="s">
        <v>50</v>
      </c>
      <c r="C37" s="65" t="s">
        <v>51</v>
      </c>
      <c r="D37" s="65" t="s">
        <v>52</v>
      </c>
      <c r="E37" s="65" t="s">
        <v>53</v>
      </c>
      <c r="F37" s="65" t="s">
        <v>54</v>
      </c>
      <c r="G37" s="65" t="s">
        <v>55</v>
      </c>
      <c r="H37" s="65" t="s">
        <v>56</v>
      </c>
      <c r="I37" s="65" t="s">
        <v>57</v>
      </c>
      <c r="J37" s="65" t="s">
        <v>58</v>
      </c>
      <c r="K37" s="65" t="s">
        <v>59</v>
      </c>
      <c r="L37" s="65" t="s">
        <v>60</v>
      </c>
      <c r="M37" s="65" t="s">
        <v>61</v>
      </c>
      <c r="N37" s="65" t="s">
        <v>62</v>
      </c>
      <c r="O37" s="65" t="s">
        <v>63</v>
      </c>
      <c r="P37" s="65" t="s">
        <v>64</v>
      </c>
      <c r="Q37" s="65" t="s">
        <v>65</v>
      </c>
      <c r="R37" s="65" t="s">
        <v>66</v>
      </c>
      <c r="S37" s="65" t="s">
        <v>67</v>
      </c>
      <c r="T37" s="65" t="s">
        <v>68</v>
      </c>
      <c r="U37" s="65" t="s">
        <v>69</v>
      </c>
      <c r="V37" s="65" t="s">
        <v>70</v>
      </c>
      <c r="W37" s="65" t="s">
        <v>71</v>
      </c>
      <c r="X37" s="65" t="s">
        <v>72</v>
      </c>
      <c r="Y37" s="65" t="s">
        <v>73</v>
      </c>
      <c r="Z37" s="65" t="s">
        <v>74</v>
      </c>
      <c r="AA37" s="65" t="s">
        <v>75</v>
      </c>
      <c r="AB37" s="65" t="s">
        <v>76</v>
      </c>
      <c r="AC37" s="65" t="s">
        <v>77</v>
      </c>
      <c r="AD37" s="65" t="s">
        <v>78</v>
      </c>
      <c r="AE37" s="65" t="s">
        <v>79</v>
      </c>
      <c r="AF37" s="65" t="s">
        <v>80</v>
      </c>
      <c r="AG37" s="65" t="s">
        <v>81</v>
      </c>
      <c r="AH37" s="65" t="s">
        <v>82</v>
      </c>
      <c r="AI37" s="65" t="s">
        <v>83</v>
      </c>
      <c r="AJ37" s="65" t="s">
        <v>84</v>
      </c>
      <c r="AK37" s="65" t="s">
        <v>85</v>
      </c>
    </row>
    <row r="38" ht="15.0" customHeight="1">
      <c r="A38" s="66" t="s">
        <v>9</v>
      </c>
      <c r="B38" s="67">
        <f t="shared" ref="B38:J38" si="2">B9</f>
        <v>0.1</v>
      </c>
      <c r="C38" s="67">
        <f t="shared" si="2"/>
        <v>0.33</v>
      </c>
      <c r="D38" s="67">
        <f t="shared" si="2"/>
        <v>0.66</v>
      </c>
      <c r="E38" s="67">
        <f t="shared" si="2"/>
        <v>1</v>
      </c>
      <c r="F38" s="67">
        <f t="shared" si="2"/>
        <v>1</v>
      </c>
      <c r="G38" s="67">
        <f t="shared" si="2"/>
        <v>1</v>
      </c>
      <c r="H38" s="67">
        <f t="shared" si="2"/>
        <v>1</v>
      </c>
      <c r="I38" s="67">
        <f t="shared" si="2"/>
        <v>1</v>
      </c>
      <c r="J38" s="67">
        <f t="shared" si="2"/>
        <v>1</v>
      </c>
      <c r="K38" s="68">
        <v>1.0</v>
      </c>
      <c r="L38" s="68">
        <v>1.0</v>
      </c>
      <c r="M38" s="68">
        <v>1.0</v>
      </c>
      <c r="N38" s="68">
        <v>1.0</v>
      </c>
      <c r="O38" s="68">
        <v>1.0</v>
      </c>
      <c r="P38" s="68">
        <v>1.0</v>
      </c>
      <c r="Q38" s="68">
        <v>1.0</v>
      </c>
      <c r="R38" s="68">
        <v>1.0</v>
      </c>
      <c r="S38" s="68">
        <v>1.0</v>
      </c>
      <c r="T38" s="68">
        <v>1.0</v>
      </c>
      <c r="U38" s="68">
        <v>1.0</v>
      </c>
      <c r="V38" s="68">
        <v>1.0</v>
      </c>
      <c r="W38" s="68">
        <v>1.0</v>
      </c>
      <c r="X38" s="68">
        <v>1.0</v>
      </c>
      <c r="Y38" s="68">
        <v>1.0</v>
      </c>
      <c r="Z38" s="68">
        <v>1.0</v>
      </c>
      <c r="AA38" s="68">
        <v>1.0</v>
      </c>
      <c r="AB38" s="68">
        <v>1.0</v>
      </c>
      <c r="AC38" s="68">
        <v>1.0</v>
      </c>
      <c r="AD38" s="68">
        <v>1.0</v>
      </c>
      <c r="AE38" s="68">
        <v>1.0</v>
      </c>
      <c r="AF38" s="68">
        <v>1.0</v>
      </c>
      <c r="AG38" s="68">
        <v>1.0</v>
      </c>
      <c r="AH38" s="68">
        <v>1.0</v>
      </c>
      <c r="AI38" s="68">
        <v>1.0</v>
      </c>
      <c r="AJ38" s="68">
        <v>1.0</v>
      </c>
      <c r="AK38" s="68">
        <v>1.0</v>
      </c>
    </row>
    <row r="39" ht="13.5" customHeight="1">
      <c r="A39" s="27" t="s">
        <v>86</v>
      </c>
      <c r="B39" s="29">
        <f t="shared" ref="B39:AK39" si="3">B38*$B$15*(1-$B$11)</f>
        <v>3541.666667</v>
      </c>
      <c r="C39" s="29">
        <f t="shared" si="3"/>
        <v>11687.5</v>
      </c>
      <c r="D39" s="29">
        <f t="shared" si="3"/>
        <v>23375</v>
      </c>
      <c r="E39" s="29">
        <f t="shared" si="3"/>
        <v>35416.66667</v>
      </c>
      <c r="F39" s="29">
        <f t="shared" si="3"/>
        <v>35416.66667</v>
      </c>
      <c r="G39" s="29">
        <f t="shared" si="3"/>
        <v>35416.66667</v>
      </c>
      <c r="H39" s="29">
        <f t="shared" si="3"/>
        <v>35416.66667</v>
      </c>
      <c r="I39" s="29">
        <f t="shared" si="3"/>
        <v>35416.66667</v>
      </c>
      <c r="J39" s="29">
        <f t="shared" si="3"/>
        <v>35416.66667</v>
      </c>
      <c r="K39" s="29">
        <f t="shared" si="3"/>
        <v>35416.66667</v>
      </c>
      <c r="L39" s="29">
        <f t="shared" si="3"/>
        <v>35416.66667</v>
      </c>
      <c r="M39" s="29">
        <f t="shared" si="3"/>
        <v>35416.66667</v>
      </c>
      <c r="N39" s="29">
        <f t="shared" si="3"/>
        <v>35416.66667</v>
      </c>
      <c r="O39" s="29">
        <f t="shared" si="3"/>
        <v>35416.66667</v>
      </c>
      <c r="P39" s="29">
        <f t="shared" si="3"/>
        <v>35416.66667</v>
      </c>
      <c r="Q39" s="29">
        <f t="shared" si="3"/>
        <v>35416.66667</v>
      </c>
      <c r="R39" s="29">
        <f t="shared" si="3"/>
        <v>35416.66667</v>
      </c>
      <c r="S39" s="29">
        <f t="shared" si="3"/>
        <v>35416.66667</v>
      </c>
      <c r="T39" s="29">
        <f t="shared" si="3"/>
        <v>35416.66667</v>
      </c>
      <c r="U39" s="29">
        <f t="shared" si="3"/>
        <v>35416.66667</v>
      </c>
      <c r="V39" s="29">
        <f t="shared" si="3"/>
        <v>35416.66667</v>
      </c>
      <c r="W39" s="29">
        <f t="shared" si="3"/>
        <v>35416.66667</v>
      </c>
      <c r="X39" s="29">
        <f t="shared" si="3"/>
        <v>35416.66667</v>
      </c>
      <c r="Y39" s="29">
        <f t="shared" si="3"/>
        <v>35416.66667</v>
      </c>
      <c r="Z39" s="29">
        <f t="shared" si="3"/>
        <v>35416.66667</v>
      </c>
      <c r="AA39" s="29">
        <f t="shared" si="3"/>
        <v>35416.66667</v>
      </c>
      <c r="AB39" s="29">
        <f t="shared" si="3"/>
        <v>35416.66667</v>
      </c>
      <c r="AC39" s="29">
        <f t="shared" si="3"/>
        <v>35416.66667</v>
      </c>
      <c r="AD39" s="29">
        <f t="shared" si="3"/>
        <v>35416.66667</v>
      </c>
      <c r="AE39" s="29">
        <f t="shared" si="3"/>
        <v>35416.66667</v>
      </c>
      <c r="AF39" s="29">
        <f t="shared" si="3"/>
        <v>35416.66667</v>
      </c>
      <c r="AG39" s="29">
        <f t="shared" si="3"/>
        <v>35416.66667</v>
      </c>
      <c r="AH39" s="29">
        <f t="shared" si="3"/>
        <v>35416.66667</v>
      </c>
      <c r="AI39" s="29">
        <f t="shared" si="3"/>
        <v>35416.66667</v>
      </c>
      <c r="AJ39" s="29">
        <f t="shared" si="3"/>
        <v>35416.66667</v>
      </c>
      <c r="AK39" s="29">
        <f t="shared" si="3"/>
        <v>35416.66667</v>
      </c>
    </row>
    <row r="40" ht="13.5" customHeight="1">
      <c r="A40" s="27" t="s">
        <v>87</v>
      </c>
      <c r="B40" s="29">
        <f t="shared" ref="B40:AK40" si="4">B39/12</f>
        <v>295.1388889</v>
      </c>
      <c r="C40" s="29">
        <f t="shared" si="4"/>
        <v>973.9583333</v>
      </c>
      <c r="D40" s="29">
        <f t="shared" si="4"/>
        <v>1947.916667</v>
      </c>
      <c r="E40" s="29">
        <f t="shared" si="4"/>
        <v>2951.388889</v>
      </c>
      <c r="F40" s="29">
        <f t="shared" si="4"/>
        <v>2951.388889</v>
      </c>
      <c r="G40" s="29">
        <f t="shared" si="4"/>
        <v>2951.388889</v>
      </c>
      <c r="H40" s="29">
        <f t="shared" si="4"/>
        <v>2951.388889</v>
      </c>
      <c r="I40" s="29">
        <f t="shared" si="4"/>
        <v>2951.388889</v>
      </c>
      <c r="J40" s="29">
        <f t="shared" si="4"/>
        <v>2951.388889</v>
      </c>
      <c r="K40" s="29">
        <f t="shared" si="4"/>
        <v>2951.388889</v>
      </c>
      <c r="L40" s="29">
        <f t="shared" si="4"/>
        <v>2951.388889</v>
      </c>
      <c r="M40" s="29">
        <f t="shared" si="4"/>
        <v>2951.388889</v>
      </c>
      <c r="N40" s="29">
        <f t="shared" si="4"/>
        <v>2951.388889</v>
      </c>
      <c r="O40" s="29">
        <f t="shared" si="4"/>
        <v>2951.388889</v>
      </c>
      <c r="P40" s="29">
        <f t="shared" si="4"/>
        <v>2951.388889</v>
      </c>
      <c r="Q40" s="29">
        <f t="shared" si="4"/>
        <v>2951.388889</v>
      </c>
      <c r="R40" s="29">
        <f t="shared" si="4"/>
        <v>2951.388889</v>
      </c>
      <c r="S40" s="29">
        <f t="shared" si="4"/>
        <v>2951.388889</v>
      </c>
      <c r="T40" s="29">
        <f t="shared" si="4"/>
        <v>2951.388889</v>
      </c>
      <c r="U40" s="29">
        <f t="shared" si="4"/>
        <v>2951.388889</v>
      </c>
      <c r="V40" s="29">
        <f t="shared" si="4"/>
        <v>2951.388889</v>
      </c>
      <c r="W40" s="29">
        <f t="shared" si="4"/>
        <v>2951.388889</v>
      </c>
      <c r="X40" s="29">
        <f t="shared" si="4"/>
        <v>2951.388889</v>
      </c>
      <c r="Y40" s="29">
        <f t="shared" si="4"/>
        <v>2951.388889</v>
      </c>
      <c r="Z40" s="29">
        <f t="shared" si="4"/>
        <v>2951.388889</v>
      </c>
      <c r="AA40" s="29">
        <f t="shared" si="4"/>
        <v>2951.388889</v>
      </c>
      <c r="AB40" s="29">
        <f t="shared" si="4"/>
        <v>2951.388889</v>
      </c>
      <c r="AC40" s="29">
        <f t="shared" si="4"/>
        <v>2951.388889</v>
      </c>
      <c r="AD40" s="29">
        <f t="shared" si="4"/>
        <v>2951.388889</v>
      </c>
      <c r="AE40" s="29">
        <f t="shared" si="4"/>
        <v>2951.388889</v>
      </c>
      <c r="AF40" s="29">
        <f t="shared" si="4"/>
        <v>2951.388889</v>
      </c>
      <c r="AG40" s="29">
        <f t="shared" si="4"/>
        <v>2951.388889</v>
      </c>
      <c r="AH40" s="29">
        <f t="shared" si="4"/>
        <v>2951.388889</v>
      </c>
      <c r="AI40" s="29">
        <f t="shared" si="4"/>
        <v>2951.388889</v>
      </c>
      <c r="AJ40" s="29">
        <f t="shared" si="4"/>
        <v>2951.388889</v>
      </c>
      <c r="AK40" s="29">
        <f t="shared" si="4"/>
        <v>2951.388889</v>
      </c>
    </row>
    <row r="41" ht="13.5" customHeight="1">
      <c r="A41" s="27" t="s">
        <v>88</v>
      </c>
      <c r="B41" s="29"/>
      <c r="C41" s="29">
        <f>B40</f>
        <v>295.1388889</v>
      </c>
      <c r="D41" s="29">
        <f t="shared" ref="D41:AK41" si="5">C40+C41+C42</f>
        <v>1261.71875</v>
      </c>
      <c r="E41" s="29">
        <f t="shared" si="5"/>
        <v>3178.092448</v>
      </c>
      <c r="F41" s="29">
        <f t="shared" si="5"/>
        <v>6050.029026</v>
      </c>
      <c r="G41" s="29">
        <f t="shared" si="5"/>
        <v>8850.167189</v>
      </c>
      <c r="H41" s="29">
        <f t="shared" si="5"/>
        <v>11580.3019</v>
      </c>
      <c r="I41" s="29">
        <f t="shared" si="5"/>
        <v>14242.18324</v>
      </c>
      <c r="J41" s="29">
        <f t="shared" si="5"/>
        <v>16837.51755</v>
      </c>
      <c r="K41" s="29">
        <f t="shared" si="5"/>
        <v>19367.9685</v>
      </c>
      <c r="L41" s="29">
        <f t="shared" si="5"/>
        <v>21835.15817</v>
      </c>
      <c r="M41" s="29">
        <f t="shared" si="5"/>
        <v>24240.66811</v>
      </c>
      <c r="N41" s="29">
        <f t="shared" si="5"/>
        <v>26586.04029</v>
      </c>
      <c r="O41" s="29">
        <f t="shared" si="5"/>
        <v>28872.77818</v>
      </c>
      <c r="P41" s="29">
        <f t="shared" si="5"/>
        <v>31102.34761</v>
      </c>
      <c r="Q41" s="29">
        <f t="shared" si="5"/>
        <v>33276.17781</v>
      </c>
      <c r="R41" s="29">
        <f t="shared" si="5"/>
        <v>35395.66225</v>
      </c>
      <c r="S41" s="29">
        <f t="shared" si="5"/>
        <v>37462.15959</v>
      </c>
      <c r="T41" s="29">
        <f t="shared" si="5"/>
        <v>39476.99448</v>
      </c>
      <c r="U41" s="29">
        <f t="shared" si="5"/>
        <v>41441.45851</v>
      </c>
      <c r="V41" s="29">
        <f t="shared" si="5"/>
        <v>43356.81094</v>
      </c>
      <c r="W41" s="29">
        <f t="shared" si="5"/>
        <v>45224.27955</v>
      </c>
      <c r="X41" s="29">
        <f t="shared" si="5"/>
        <v>47045.06145</v>
      </c>
      <c r="Y41" s="29">
        <f t="shared" si="5"/>
        <v>48820.32381</v>
      </c>
      <c r="Z41" s="29">
        <f t="shared" si="5"/>
        <v>50551.2046</v>
      </c>
      <c r="AA41" s="29">
        <f t="shared" si="5"/>
        <v>52238.81337</v>
      </c>
      <c r="AB41" s="29">
        <f t="shared" si="5"/>
        <v>53884.23193</v>
      </c>
      <c r="AC41" s="29">
        <f t="shared" si="5"/>
        <v>55488.51502</v>
      </c>
      <c r="AD41" s="29">
        <f t="shared" si="5"/>
        <v>57052.69103</v>
      </c>
      <c r="AE41" s="29">
        <f t="shared" si="5"/>
        <v>58577.76265</v>
      </c>
      <c r="AF41" s="29">
        <f t="shared" si="5"/>
        <v>60064.70747</v>
      </c>
      <c r="AG41" s="29">
        <f t="shared" si="5"/>
        <v>61514.47867</v>
      </c>
      <c r="AH41" s="29">
        <f t="shared" si="5"/>
        <v>62928.00559</v>
      </c>
      <c r="AI41" s="29">
        <f t="shared" si="5"/>
        <v>64306.19434</v>
      </c>
      <c r="AJ41" s="29">
        <f t="shared" si="5"/>
        <v>65649.92837</v>
      </c>
      <c r="AK41" s="29">
        <f t="shared" si="5"/>
        <v>66960.06905</v>
      </c>
    </row>
    <row r="42" ht="13.5" customHeight="1">
      <c r="A42" s="27" t="s">
        <v>89</v>
      </c>
      <c r="B42" s="29"/>
      <c r="C42" s="69">
        <f t="shared" ref="C42:AK42" si="6">-$B$19*C41</f>
        <v>-7.378472222</v>
      </c>
      <c r="D42" s="69">
        <f t="shared" si="6"/>
        <v>-31.54296875</v>
      </c>
      <c r="E42" s="69">
        <f t="shared" si="6"/>
        <v>-79.4523112</v>
      </c>
      <c r="F42" s="69">
        <f t="shared" si="6"/>
        <v>-151.2507256</v>
      </c>
      <c r="G42" s="69">
        <f t="shared" si="6"/>
        <v>-221.2541797</v>
      </c>
      <c r="H42" s="69">
        <f t="shared" si="6"/>
        <v>-289.5075475</v>
      </c>
      <c r="I42" s="69">
        <f t="shared" si="6"/>
        <v>-356.054581</v>
      </c>
      <c r="J42" s="69">
        <f t="shared" si="6"/>
        <v>-420.9379387</v>
      </c>
      <c r="K42" s="69">
        <f t="shared" si="6"/>
        <v>-484.1992124</v>
      </c>
      <c r="L42" s="69">
        <f t="shared" si="6"/>
        <v>-545.8789544</v>
      </c>
      <c r="M42" s="69">
        <f t="shared" si="6"/>
        <v>-606.0167027</v>
      </c>
      <c r="N42" s="69">
        <f t="shared" si="6"/>
        <v>-664.6510074</v>
      </c>
      <c r="O42" s="69">
        <f t="shared" si="6"/>
        <v>-721.8194544</v>
      </c>
      <c r="P42" s="69">
        <f t="shared" si="6"/>
        <v>-777.5586903</v>
      </c>
      <c r="Q42" s="69">
        <f t="shared" si="6"/>
        <v>-831.9044452</v>
      </c>
      <c r="R42" s="69">
        <f t="shared" si="6"/>
        <v>-884.8915563</v>
      </c>
      <c r="S42" s="69">
        <f t="shared" si="6"/>
        <v>-936.5539896</v>
      </c>
      <c r="T42" s="69">
        <f t="shared" si="6"/>
        <v>-986.9248621</v>
      </c>
      <c r="U42" s="69">
        <f t="shared" si="6"/>
        <v>-1036.036463</v>
      </c>
      <c r="V42" s="69">
        <f t="shared" si="6"/>
        <v>-1083.920273</v>
      </c>
      <c r="W42" s="69">
        <f t="shared" si="6"/>
        <v>-1130.606989</v>
      </c>
      <c r="X42" s="69">
        <f t="shared" si="6"/>
        <v>-1176.126536</v>
      </c>
      <c r="Y42" s="69">
        <f t="shared" si="6"/>
        <v>-1220.508095</v>
      </c>
      <c r="Z42" s="69">
        <f t="shared" si="6"/>
        <v>-1263.780115</v>
      </c>
      <c r="AA42" s="69">
        <f t="shared" si="6"/>
        <v>-1305.970334</v>
      </c>
      <c r="AB42" s="69">
        <f t="shared" si="6"/>
        <v>-1347.105798</v>
      </c>
      <c r="AC42" s="69">
        <f t="shared" si="6"/>
        <v>-1387.212875</v>
      </c>
      <c r="AD42" s="69">
        <f t="shared" si="6"/>
        <v>-1426.317276</v>
      </c>
      <c r="AE42" s="69">
        <f t="shared" si="6"/>
        <v>-1464.444066</v>
      </c>
      <c r="AF42" s="69">
        <f t="shared" si="6"/>
        <v>-1501.617687</v>
      </c>
      <c r="AG42" s="69">
        <f t="shared" si="6"/>
        <v>-1537.861967</v>
      </c>
      <c r="AH42" s="69">
        <f t="shared" si="6"/>
        <v>-1573.20014</v>
      </c>
      <c r="AI42" s="69">
        <f t="shared" si="6"/>
        <v>-1607.654859</v>
      </c>
      <c r="AJ42" s="69">
        <f t="shared" si="6"/>
        <v>-1641.248209</v>
      </c>
      <c r="AK42" s="69">
        <f t="shared" si="6"/>
        <v>-1674.001726</v>
      </c>
    </row>
    <row r="43" ht="13.5" customHeight="1">
      <c r="A43" s="70" t="s">
        <v>90</v>
      </c>
      <c r="B43" s="71">
        <f t="shared" ref="B43:AK43" si="7">SUM(B40:B42)</f>
        <v>295.1388889</v>
      </c>
      <c r="C43" s="71">
        <f t="shared" si="7"/>
        <v>1261.71875</v>
      </c>
      <c r="D43" s="71">
        <f t="shared" si="7"/>
        <v>3178.092448</v>
      </c>
      <c r="E43" s="71">
        <f t="shared" si="7"/>
        <v>6050.029026</v>
      </c>
      <c r="F43" s="71">
        <f t="shared" si="7"/>
        <v>8850.167189</v>
      </c>
      <c r="G43" s="71">
        <f t="shared" si="7"/>
        <v>11580.3019</v>
      </c>
      <c r="H43" s="71">
        <f t="shared" si="7"/>
        <v>14242.18324</v>
      </c>
      <c r="I43" s="71">
        <f t="shared" si="7"/>
        <v>16837.51755</v>
      </c>
      <c r="J43" s="71">
        <f t="shared" si="7"/>
        <v>19367.9685</v>
      </c>
      <c r="K43" s="71">
        <f t="shared" si="7"/>
        <v>21835.15817</v>
      </c>
      <c r="L43" s="71">
        <f t="shared" si="7"/>
        <v>24240.66811</v>
      </c>
      <c r="M43" s="71">
        <f t="shared" si="7"/>
        <v>26586.04029</v>
      </c>
      <c r="N43" s="71">
        <f t="shared" si="7"/>
        <v>28872.77818</v>
      </c>
      <c r="O43" s="71">
        <f t="shared" si="7"/>
        <v>31102.34761</v>
      </c>
      <c r="P43" s="71">
        <f t="shared" si="7"/>
        <v>33276.17781</v>
      </c>
      <c r="Q43" s="71">
        <f t="shared" si="7"/>
        <v>35395.66225</v>
      </c>
      <c r="R43" s="71">
        <f t="shared" si="7"/>
        <v>37462.15959</v>
      </c>
      <c r="S43" s="71">
        <f t="shared" si="7"/>
        <v>39476.99448</v>
      </c>
      <c r="T43" s="71">
        <f t="shared" si="7"/>
        <v>41441.45851</v>
      </c>
      <c r="U43" s="71">
        <f t="shared" si="7"/>
        <v>43356.81094</v>
      </c>
      <c r="V43" s="71">
        <f t="shared" si="7"/>
        <v>45224.27955</v>
      </c>
      <c r="W43" s="71">
        <f t="shared" si="7"/>
        <v>47045.06145</v>
      </c>
      <c r="X43" s="71">
        <f t="shared" si="7"/>
        <v>48820.32381</v>
      </c>
      <c r="Y43" s="71">
        <f t="shared" si="7"/>
        <v>50551.2046</v>
      </c>
      <c r="Z43" s="71">
        <f t="shared" si="7"/>
        <v>52238.81337</v>
      </c>
      <c r="AA43" s="71">
        <f t="shared" si="7"/>
        <v>53884.23193</v>
      </c>
      <c r="AB43" s="71">
        <f t="shared" si="7"/>
        <v>55488.51502</v>
      </c>
      <c r="AC43" s="71">
        <f t="shared" si="7"/>
        <v>57052.69103</v>
      </c>
      <c r="AD43" s="71">
        <f t="shared" si="7"/>
        <v>58577.76265</v>
      </c>
      <c r="AE43" s="71">
        <f t="shared" si="7"/>
        <v>60064.70747</v>
      </c>
      <c r="AF43" s="71">
        <f t="shared" si="7"/>
        <v>61514.47867</v>
      </c>
      <c r="AG43" s="71">
        <f t="shared" si="7"/>
        <v>62928.00559</v>
      </c>
      <c r="AH43" s="71">
        <f t="shared" si="7"/>
        <v>64306.19434</v>
      </c>
      <c r="AI43" s="71">
        <f t="shared" si="7"/>
        <v>65649.92837</v>
      </c>
      <c r="AJ43" s="71">
        <f t="shared" si="7"/>
        <v>66960.06905</v>
      </c>
      <c r="AK43" s="71">
        <f t="shared" si="7"/>
        <v>68237.45621</v>
      </c>
    </row>
    <row r="44" ht="15.0" customHeight="1">
      <c r="A44" s="72" t="s">
        <v>91</v>
      </c>
      <c r="B44" s="73">
        <f>B43</f>
        <v>295.1388889</v>
      </c>
      <c r="C44" s="73">
        <f t="shared" ref="C44:AK44" si="8">B44+C43</f>
        <v>1556.857639</v>
      </c>
      <c r="D44" s="73">
        <f t="shared" si="8"/>
        <v>4734.950087</v>
      </c>
      <c r="E44" s="73">
        <f t="shared" si="8"/>
        <v>10784.97911</v>
      </c>
      <c r="F44" s="73">
        <f t="shared" si="8"/>
        <v>19635.1463</v>
      </c>
      <c r="G44" s="73">
        <f t="shared" si="8"/>
        <v>31215.4482</v>
      </c>
      <c r="H44" s="73">
        <f t="shared" si="8"/>
        <v>45457.63144</v>
      </c>
      <c r="I44" s="73">
        <f t="shared" si="8"/>
        <v>62295.14899</v>
      </c>
      <c r="J44" s="73">
        <f t="shared" si="8"/>
        <v>81663.11748</v>
      </c>
      <c r="K44" s="73">
        <f t="shared" si="8"/>
        <v>103498.2757</v>
      </c>
      <c r="L44" s="73">
        <f t="shared" si="8"/>
        <v>127738.9438</v>
      </c>
      <c r="M44" s="73">
        <f t="shared" si="8"/>
        <v>154324.9841</v>
      </c>
      <c r="N44" s="73">
        <f t="shared" si="8"/>
        <v>183197.7622</v>
      </c>
      <c r="O44" s="73">
        <f t="shared" si="8"/>
        <v>214300.1098</v>
      </c>
      <c r="P44" s="73">
        <f t="shared" si="8"/>
        <v>247576.2877</v>
      </c>
      <c r="Q44" s="73">
        <f t="shared" si="8"/>
        <v>282971.9499</v>
      </c>
      <c r="R44" s="73">
        <f t="shared" si="8"/>
        <v>320434.1095</v>
      </c>
      <c r="S44" s="73">
        <f t="shared" si="8"/>
        <v>359911.104</v>
      </c>
      <c r="T44" s="73">
        <f t="shared" si="8"/>
        <v>401352.5625</v>
      </c>
      <c r="U44" s="73">
        <f t="shared" si="8"/>
        <v>444709.3734</v>
      </c>
      <c r="V44" s="73">
        <f t="shared" si="8"/>
        <v>489933.653</v>
      </c>
      <c r="W44" s="73">
        <f t="shared" si="8"/>
        <v>536978.7144</v>
      </c>
      <c r="X44" s="73">
        <f t="shared" si="8"/>
        <v>585799.0382</v>
      </c>
      <c r="Y44" s="73">
        <f t="shared" si="8"/>
        <v>636350.2428</v>
      </c>
      <c r="Z44" s="73">
        <f t="shared" si="8"/>
        <v>688589.0562</v>
      </c>
      <c r="AA44" s="73">
        <f t="shared" si="8"/>
        <v>742473.2881</v>
      </c>
      <c r="AB44" s="73">
        <f t="shared" si="8"/>
        <v>797961.8032</v>
      </c>
      <c r="AC44" s="73">
        <f t="shared" si="8"/>
        <v>855014.4942</v>
      </c>
      <c r="AD44" s="73">
        <f t="shared" si="8"/>
        <v>913592.2568</v>
      </c>
      <c r="AE44" s="73">
        <f t="shared" si="8"/>
        <v>973656.9643</v>
      </c>
      <c r="AF44" s="73">
        <f t="shared" si="8"/>
        <v>1035171.443</v>
      </c>
      <c r="AG44" s="73">
        <f t="shared" si="8"/>
        <v>1098099.449</v>
      </c>
      <c r="AH44" s="73">
        <f t="shared" si="8"/>
        <v>1162405.643</v>
      </c>
      <c r="AI44" s="73">
        <f t="shared" si="8"/>
        <v>1228055.571</v>
      </c>
      <c r="AJ44" s="73">
        <f t="shared" si="8"/>
        <v>1295015.64</v>
      </c>
      <c r="AK44" s="73">
        <f t="shared" si="8"/>
        <v>1363253.097</v>
      </c>
    </row>
    <row r="45" ht="15.0" customHeight="1">
      <c r="A45" s="74" t="s">
        <v>92</v>
      </c>
      <c r="B45" s="75">
        <f t="shared" ref="B45:AK45" si="9">$B$20*B44</f>
        <v>236.1111111</v>
      </c>
      <c r="C45" s="75">
        <f t="shared" si="9"/>
        <v>1245.486111</v>
      </c>
      <c r="D45" s="75">
        <f t="shared" si="9"/>
        <v>3787.960069</v>
      </c>
      <c r="E45" s="75">
        <f t="shared" si="9"/>
        <v>8627.98329</v>
      </c>
      <c r="F45" s="75">
        <f t="shared" si="9"/>
        <v>15708.11704</v>
      </c>
      <c r="G45" s="75">
        <f t="shared" si="9"/>
        <v>24972.35856</v>
      </c>
      <c r="H45" s="75">
        <f t="shared" si="9"/>
        <v>36366.10515</v>
      </c>
      <c r="I45" s="75">
        <f t="shared" si="9"/>
        <v>49836.11919</v>
      </c>
      <c r="J45" s="75">
        <f t="shared" si="9"/>
        <v>65330.49399</v>
      </c>
      <c r="K45" s="75">
        <f t="shared" si="9"/>
        <v>82798.62053</v>
      </c>
      <c r="L45" s="75">
        <f t="shared" si="9"/>
        <v>102191.155</v>
      </c>
      <c r="M45" s="75">
        <f t="shared" si="9"/>
        <v>123459.9872</v>
      </c>
      <c r="N45" s="75">
        <f t="shared" si="9"/>
        <v>146558.2098</v>
      </c>
      <c r="O45" s="75">
        <f t="shared" si="9"/>
        <v>171440.0879</v>
      </c>
      <c r="P45" s="75">
        <f t="shared" si="9"/>
        <v>198061.0301</v>
      </c>
      <c r="Q45" s="75">
        <f t="shared" si="9"/>
        <v>226377.5599</v>
      </c>
      <c r="R45" s="75">
        <f t="shared" si="9"/>
        <v>256347.2876</v>
      </c>
      <c r="S45" s="75">
        <f t="shared" si="9"/>
        <v>287928.8832</v>
      </c>
      <c r="T45" s="75">
        <f t="shared" si="9"/>
        <v>321082.05</v>
      </c>
      <c r="U45" s="75">
        <f t="shared" si="9"/>
        <v>355767.4987</v>
      </c>
      <c r="V45" s="75">
        <f t="shared" si="9"/>
        <v>391946.9224</v>
      </c>
      <c r="W45" s="75">
        <f t="shared" si="9"/>
        <v>429582.9715</v>
      </c>
      <c r="X45" s="75">
        <f t="shared" si="9"/>
        <v>468639.2306</v>
      </c>
      <c r="Y45" s="75">
        <f t="shared" si="9"/>
        <v>509080.1943</v>
      </c>
      <c r="Z45" s="75">
        <f t="shared" si="9"/>
        <v>550871.245</v>
      </c>
      <c r="AA45" s="75">
        <f t="shared" si="9"/>
        <v>593978.6305</v>
      </c>
      <c r="AB45" s="75">
        <f t="shared" si="9"/>
        <v>638369.4425</v>
      </c>
      <c r="AC45" s="75">
        <f t="shared" si="9"/>
        <v>684011.5954</v>
      </c>
      <c r="AD45" s="75">
        <f t="shared" si="9"/>
        <v>730873.8055</v>
      </c>
      <c r="AE45" s="75">
        <f t="shared" si="9"/>
        <v>778925.5714</v>
      </c>
      <c r="AF45" s="75">
        <f t="shared" si="9"/>
        <v>828137.1544</v>
      </c>
      <c r="AG45" s="75">
        <f t="shared" si="9"/>
        <v>878479.5589</v>
      </c>
      <c r="AH45" s="75">
        <f t="shared" si="9"/>
        <v>929924.5143</v>
      </c>
      <c r="AI45" s="75">
        <f t="shared" si="9"/>
        <v>982444.457</v>
      </c>
      <c r="AJ45" s="75">
        <f t="shared" si="9"/>
        <v>1036012.512</v>
      </c>
      <c r="AK45" s="75">
        <f t="shared" si="9"/>
        <v>1090602.477</v>
      </c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ht="16.5" customHeight="1">
      <c r="A48" s="64" t="s">
        <v>93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ht="15.0" customHeight="1">
      <c r="A49" s="66" t="s">
        <v>94</v>
      </c>
      <c r="B49" s="29">
        <f t="shared" ref="B49:AK49" si="10">$B$6/12</f>
        <v>4166.666667</v>
      </c>
      <c r="C49" s="29">
        <f t="shared" si="10"/>
        <v>4166.666667</v>
      </c>
      <c r="D49" s="29">
        <f t="shared" si="10"/>
        <v>4166.666667</v>
      </c>
      <c r="E49" s="29">
        <f t="shared" si="10"/>
        <v>4166.666667</v>
      </c>
      <c r="F49" s="29">
        <f t="shared" si="10"/>
        <v>4166.666667</v>
      </c>
      <c r="G49" s="29">
        <f t="shared" si="10"/>
        <v>4166.666667</v>
      </c>
      <c r="H49" s="29">
        <f t="shared" si="10"/>
        <v>4166.666667</v>
      </c>
      <c r="I49" s="29">
        <f t="shared" si="10"/>
        <v>4166.666667</v>
      </c>
      <c r="J49" s="29">
        <f t="shared" si="10"/>
        <v>4166.666667</v>
      </c>
      <c r="K49" s="29">
        <f t="shared" si="10"/>
        <v>4166.666667</v>
      </c>
      <c r="L49" s="29">
        <f t="shared" si="10"/>
        <v>4166.666667</v>
      </c>
      <c r="M49" s="29">
        <f t="shared" si="10"/>
        <v>4166.666667</v>
      </c>
      <c r="N49" s="29">
        <f t="shared" si="10"/>
        <v>4166.666667</v>
      </c>
      <c r="O49" s="29">
        <f t="shared" si="10"/>
        <v>4166.666667</v>
      </c>
      <c r="P49" s="29">
        <f t="shared" si="10"/>
        <v>4166.666667</v>
      </c>
      <c r="Q49" s="29">
        <f t="shared" si="10"/>
        <v>4166.666667</v>
      </c>
      <c r="R49" s="29">
        <f t="shared" si="10"/>
        <v>4166.666667</v>
      </c>
      <c r="S49" s="29">
        <f t="shared" si="10"/>
        <v>4166.666667</v>
      </c>
      <c r="T49" s="29">
        <f t="shared" si="10"/>
        <v>4166.666667</v>
      </c>
      <c r="U49" s="29">
        <f t="shared" si="10"/>
        <v>4166.666667</v>
      </c>
      <c r="V49" s="29">
        <f t="shared" si="10"/>
        <v>4166.666667</v>
      </c>
      <c r="W49" s="29">
        <f t="shared" si="10"/>
        <v>4166.666667</v>
      </c>
      <c r="X49" s="29">
        <f t="shared" si="10"/>
        <v>4166.666667</v>
      </c>
      <c r="Y49" s="29">
        <f t="shared" si="10"/>
        <v>4166.666667</v>
      </c>
      <c r="Z49" s="29">
        <f t="shared" si="10"/>
        <v>4166.666667</v>
      </c>
      <c r="AA49" s="29">
        <f t="shared" si="10"/>
        <v>4166.666667</v>
      </c>
      <c r="AB49" s="29">
        <f t="shared" si="10"/>
        <v>4166.666667</v>
      </c>
      <c r="AC49" s="29">
        <f t="shared" si="10"/>
        <v>4166.666667</v>
      </c>
      <c r="AD49" s="29">
        <f t="shared" si="10"/>
        <v>4166.666667</v>
      </c>
      <c r="AE49" s="29">
        <f t="shared" si="10"/>
        <v>4166.666667</v>
      </c>
      <c r="AF49" s="29">
        <f t="shared" si="10"/>
        <v>4166.666667</v>
      </c>
      <c r="AG49" s="29">
        <f t="shared" si="10"/>
        <v>4166.666667</v>
      </c>
      <c r="AH49" s="29">
        <f t="shared" si="10"/>
        <v>4166.666667</v>
      </c>
      <c r="AI49" s="29">
        <f t="shared" si="10"/>
        <v>4166.666667</v>
      </c>
      <c r="AJ49" s="29">
        <f t="shared" si="10"/>
        <v>4166.666667</v>
      </c>
      <c r="AK49" s="29">
        <f t="shared" si="10"/>
        <v>4166.666667</v>
      </c>
    </row>
    <row r="50" ht="13.5" customHeight="1">
      <c r="A50" s="27" t="s">
        <v>6</v>
      </c>
      <c r="B50" s="29">
        <f t="shared" ref="B50:J50" si="11">MAX(B38,B8)*$B$7/12</f>
        <v>4583.333333</v>
      </c>
      <c r="C50" s="29">
        <f t="shared" si="11"/>
        <v>3208.333333</v>
      </c>
      <c r="D50" s="29">
        <f t="shared" si="11"/>
        <v>3025</v>
      </c>
      <c r="E50" s="29">
        <f t="shared" si="11"/>
        <v>4583.333333</v>
      </c>
      <c r="F50" s="29">
        <f t="shared" si="11"/>
        <v>4583.333333</v>
      </c>
      <c r="G50" s="29">
        <f t="shared" si="11"/>
        <v>4583.333333</v>
      </c>
      <c r="H50" s="29">
        <f t="shared" si="11"/>
        <v>4583.333333</v>
      </c>
      <c r="I50" s="29">
        <f t="shared" si="11"/>
        <v>4583.333333</v>
      </c>
      <c r="J50" s="29">
        <f t="shared" si="11"/>
        <v>4583.333333</v>
      </c>
      <c r="K50" s="29">
        <f t="shared" ref="K50:AK50" si="12">$B$7/12</f>
        <v>4583.333333</v>
      </c>
      <c r="L50" s="29">
        <f t="shared" si="12"/>
        <v>4583.333333</v>
      </c>
      <c r="M50" s="29">
        <f t="shared" si="12"/>
        <v>4583.333333</v>
      </c>
      <c r="N50" s="29">
        <f t="shared" si="12"/>
        <v>4583.333333</v>
      </c>
      <c r="O50" s="29">
        <f t="shared" si="12"/>
        <v>4583.333333</v>
      </c>
      <c r="P50" s="29">
        <f t="shared" si="12"/>
        <v>4583.333333</v>
      </c>
      <c r="Q50" s="29">
        <f t="shared" si="12"/>
        <v>4583.333333</v>
      </c>
      <c r="R50" s="29">
        <f t="shared" si="12"/>
        <v>4583.333333</v>
      </c>
      <c r="S50" s="29">
        <f t="shared" si="12"/>
        <v>4583.333333</v>
      </c>
      <c r="T50" s="29">
        <f t="shared" si="12"/>
        <v>4583.333333</v>
      </c>
      <c r="U50" s="29">
        <f t="shared" si="12"/>
        <v>4583.333333</v>
      </c>
      <c r="V50" s="29">
        <f t="shared" si="12"/>
        <v>4583.333333</v>
      </c>
      <c r="W50" s="29">
        <f t="shared" si="12"/>
        <v>4583.333333</v>
      </c>
      <c r="X50" s="29">
        <f t="shared" si="12"/>
        <v>4583.333333</v>
      </c>
      <c r="Y50" s="29">
        <f t="shared" si="12"/>
        <v>4583.333333</v>
      </c>
      <c r="Z50" s="29">
        <f t="shared" si="12"/>
        <v>4583.333333</v>
      </c>
      <c r="AA50" s="29">
        <f t="shared" si="12"/>
        <v>4583.333333</v>
      </c>
      <c r="AB50" s="29">
        <f t="shared" si="12"/>
        <v>4583.333333</v>
      </c>
      <c r="AC50" s="29">
        <f t="shared" si="12"/>
        <v>4583.333333</v>
      </c>
      <c r="AD50" s="29">
        <f t="shared" si="12"/>
        <v>4583.333333</v>
      </c>
      <c r="AE50" s="29">
        <f t="shared" si="12"/>
        <v>4583.333333</v>
      </c>
      <c r="AF50" s="29">
        <f t="shared" si="12"/>
        <v>4583.333333</v>
      </c>
      <c r="AG50" s="29">
        <f t="shared" si="12"/>
        <v>4583.333333</v>
      </c>
      <c r="AH50" s="29">
        <f t="shared" si="12"/>
        <v>4583.333333</v>
      </c>
      <c r="AI50" s="29">
        <f t="shared" si="12"/>
        <v>4583.333333</v>
      </c>
      <c r="AJ50" s="29">
        <f t="shared" si="12"/>
        <v>4583.333333</v>
      </c>
      <c r="AK50" s="29">
        <f t="shared" si="12"/>
        <v>4583.333333</v>
      </c>
    </row>
    <row r="51" ht="13.5" customHeight="1">
      <c r="A51" s="27" t="s">
        <v>95</v>
      </c>
      <c r="B51" s="29">
        <f t="shared" ref="B51:AK51" si="13">$B$10/12</f>
        <v>2500</v>
      </c>
      <c r="C51" s="29">
        <f t="shared" si="13"/>
        <v>2500</v>
      </c>
      <c r="D51" s="29">
        <f t="shared" si="13"/>
        <v>2500</v>
      </c>
      <c r="E51" s="29">
        <f t="shared" si="13"/>
        <v>2500</v>
      </c>
      <c r="F51" s="29">
        <f t="shared" si="13"/>
        <v>2500</v>
      </c>
      <c r="G51" s="29">
        <f t="shared" si="13"/>
        <v>2500</v>
      </c>
      <c r="H51" s="29">
        <f t="shared" si="13"/>
        <v>2500</v>
      </c>
      <c r="I51" s="29">
        <f t="shared" si="13"/>
        <v>2500</v>
      </c>
      <c r="J51" s="29">
        <f t="shared" si="13"/>
        <v>2500</v>
      </c>
      <c r="K51" s="29">
        <f t="shared" si="13"/>
        <v>2500</v>
      </c>
      <c r="L51" s="29">
        <f t="shared" si="13"/>
        <v>2500</v>
      </c>
      <c r="M51" s="29">
        <f t="shared" si="13"/>
        <v>2500</v>
      </c>
      <c r="N51" s="29">
        <f t="shared" si="13"/>
        <v>2500</v>
      </c>
      <c r="O51" s="29">
        <f t="shared" si="13"/>
        <v>2500</v>
      </c>
      <c r="P51" s="29">
        <f t="shared" si="13"/>
        <v>2500</v>
      </c>
      <c r="Q51" s="29">
        <f t="shared" si="13"/>
        <v>2500</v>
      </c>
      <c r="R51" s="29">
        <f t="shared" si="13"/>
        <v>2500</v>
      </c>
      <c r="S51" s="29">
        <f t="shared" si="13"/>
        <v>2500</v>
      </c>
      <c r="T51" s="29">
        <f t="shared" si="13"/>
        <v>2500</v>
      </c>
      <c r="U51" s="29">
        <f t="shared" si="13"/>
        <v>2500</v>
      </c>
      <c r="V51" s="29">
        <f t="shared" si="13"/>
        <v>2500</v>
      </c>
      <c r="W51" s="29">
        <f t="shared" si="13"/>
        <v>2500</v>
      </c>
      <c r="X51" s="29">
        <f t="shared" si="13"/>
        <v>2500</v>
      </c>
      <c r="Y51" s="29">
        <f t="shared" si="13"/>
        <v>2500</v>
      </c>
      <c r="Z51" s="29">
        <f t="shared" si="13"/>
        <v>2500</v>
      </c>
      <c r="AA51" s="29">
        <f t="shared" si="13"/>
        <v>2500</v>
      </c>
      <c r="AB51" s="29">
        <f t="shared" si="13"/>
        <v>2500</v>
      </c>
      <c r="AC51" s="29">
        <f t="shared" si="13"/>
        <v>2500</v>
      </c>
      <c r="AD51" s="29">
        <f t="shared" si="13"/>
        <v>2500</v>
      </c>
      <c r="AE51" s="29">
        <f t="shared" si="13"/>
        <v>2500</v>
      </c>
      <c r="AF51" s="29">
        <f t="shared" si="13"/>
        <v>2500</v>
      </c>
      <c r="AG51" s="29">
        <f t="shared" si="13"/>
        <v>2500</v>
      </c>
      <c r="AH51" s="29">
        <f t="shared" si="13"/>
        <v>2500</v>
      </c>
      <c r="AI51" s="29">
        <f t="shared" si="13"/>
        <v>2500</v>
      </c>
      <c r="AJ51" s="29">
        <f t="shared" si="13"/>
        <v>2500</v>
      </c>
      <c r="AK51" s="29">
        <f t="shared" si="13"/>
        <v>2500</v>
      </c>
    </row>
    <row r="52" ht="13.5" customHeight="1">
      <c r="A52" s="70" t="s">
        <v>96</v>
      </c>
      <c r="B52" s="71">
        <f t="shared" ref="B52:AK52" si="14">B39*(1+$B$11)/$B$23*$B$25*$B$26</f>
        <v>850.2213542</v>
      </c>
      <c r="C52" s="71">
        <f t="shared" si="14"/>
        <v>2805.730469</v>
      </c>
      <c r="D52" s="71">
        <f t="shared" si="14"/>
        <v>5611.460938</v>
      </c>
      <c r="E52" s="71">
        <f t="shared" si="14"/>
        <v>8502.213542</v>
      </c>
      <c r="F52" s="71">
        <f t="shared" si="14"/>
        <v>8502.213542</v>
      </c>
      <c r="G52" s="71">
        <f t="shared" si="14"/>
        <v>8502.213542</v>
      </c>
      <c r="H52" s="71">
        <f t="shared" si="14"/>
        <v>8502.213542</v>
      </c>
      <c r="I52" s="71">
        <f t="shared" si="14"/>
        <v>8502.213542</v>
      </c>
      <c r="J52" s="71">
        <f t="shared" si="14"/>
        <v>8502.213542</v>
      </c>
      <c r="K52" s="71">
        <f t="shared" si="14"/>
        <v>8502.213542</v>
      </c>
      <c r="L52" s="71">
        <f t="shared" si="14"/>
        <v>8502.213542</v>
      </c>
      <c r="M52" s="71">
        <f t="shared" si="14"/>
        <v>8502.213542</v>
      </c>
      <c r="N52" s="71">
        <f t="shared" si="14"/>
        <v>8502.213542</v>
      </c>
      <c r="O52" s="71">
        <f t="shared" si="14"/>
        <v>8502.213542</v>
      </c>
      <c r="P52" s="71">
        <f t="shared" si="14"/>
        <v>8502.213542</v>
      </c>
      <c r="Q52" s="71">
        <f t="shared" si="14"/>
        <v>8502.213542</v>
      </c>
      <c r="R52" s="71">
        <f t="shared" si="14"/>
        <v>8502.213542</v>
      </c>
      <c r="S52" s="71">
        <f t="shared" si="14"/>
        <v>8502.213542</v>
      </c>
      <c r="T52" s="71">
        <f t="shared" si="14"/>
        <v>8502.213542</v>
      </c>
      <c r="U52" s="71">
        <f t="shared" si="14"/>
        <v>8502.213542</v>
      </c>
      <c r="V52" s="71">
        <f t="shared" si="14"/>
        <v>8502.213542</v>
      </c>
      <c r="W52" s="71">
        <f t="shared" si="14"/>
        <v>8502.213542</v>
      </c>
      <c r="X52" s="71">
        <f t="shared" si="14"/>
        <v>8502.213542</v>
      </c>
      <c r="Y52" s="71">
        <f t="shared" si="14"/>
        <v>8502.213542</v>
      </c>
      <c r="Z52" s="71">
        <f t="shared" si="14"/>
        <v>8502.213542</v>
      </c>
      <c r="AA52" s="71">
        <f t="shared" si="14"/>
        <v>8502.213542</v>
      </c>
      <c r="AB52" s="71">
        <f t="shared" si="14"/>
        <v>8502.213542</v>
      </c>
      <c r="AC52" s="71">
        <f t="shared" si="14"/>
        <v>8502.213542</v>
      </c>
      <c r="AD52" s="71">
        <f t="shared" si="14"/>
        <v>8502.213542</v>
      </c>
      <c r="AE52" s="71">
        <f t="shared" si="14"/>
        <v>8502.213542</v>
      </c>
      <c r="AF52" s="71">
        <f t="shared" si="14"/>
        <v>8502.213542</v>
      </c>
      <c r="AG52" s="71">
        <f t="shared" si="14"/>
        <v>8502.213542</v>
      </c>
      <c r="AH52" s="71">
        <f t="shared" si="14"/>
        <v>8502.213542</v>
      </c>
      <c r="AI52" s="71">
        <f t="shared" si="14"/>
        <v>8502.213542</v>
      </c>
      <c r="AJ52" s="71">
        <f t="shared" si="14"/>
        <v>8502.213542</v>
      </c>
      <c r="AK52" s="71">
        <f t="shared" si="14"/>
        <v>8502.213542</v>
      </c>
    </row>
    <row r="53" ht="15.0" customHeight="1">
      <c r="A53" s="72" t="s">
        <v>97</v>
      </c>
      <c r="B53" s="73">
        <f t="shared" ref="B53:AK53" si="15">SUM(B49:B52)</f>
        <v>12100.22135</v>
      </c>
      <c r="C53" s="73">
        <f t="shared" si="15"/>
        <v>12680.73047</v>
      </c>
      <c r="D53" s="73">
        <f t="shared" si="15"/>
        <v>15303.1276</v>
      </c>
      <c r="E53" s="73">
        <f t="shared" si="15"/>
        <v>19752.21354</v>
      </c>
      <c r="F53" s="73">
        <f t="shared" si="15"/>
        <v>19752.21354</v>
      </c>
      <c r="G53" s="73">
        <f t="shared" si="15"/>
        <v>19752.21354</v>
      </c>
      <c r="H53" s="73">
        <f t="shared" si="15"/>
        <v>19752.21354</v>
      </c>
      <c r="I53" s="73">
        <f t="shared" si="15"/>
        <v>19752.21354</v>
      </c>
      <c r="J53" s="73">
        <f t="shared" si="15"/>
        <v>19752.21354</v>
      </c>
      <c r="K53" s="73">
        <f t="shared" si="15"/>
        <v>19752.21354</v>
      </c>
      <c r="L53" s="73">
        <f t="shared" si="15"/>
        <v>19752.21354</v>
      </c>
      <c r="M53" s="73">
        <f t="shared" si="15"/>
        <v>19752.21354</v>
      </c>
      <c r="N53" s="73">
        <f t="shared" si="15"/>
        <v>19752.21354</v>
      </c>
      <c r="O53" s="73">
        <f t="shared" si="15"/>
        <v>19752.21354</v>
      </c>
      <c r="P53" s="73">
        <f t="shared" si="15"/>
        <v>19752.21354</v>
      </c>
      <c r="Q53" s="73">
        <f t="shared" si="15"/>
        <v>19752.21354</v>
      </c>
      <c r="R53" s="73">
        <f t="shared" si="15"/>
        <v>19752.21354</v>
      </c>
      <c r="S53" s="73">
        <f t="shared" si="15"/>
        <v>19752.21354</v>
      </c>
      <c r="T53" s="73">
        <f t="shared" si="15"/>
        <v>19752.21354</v>
      </c>
      <c r="U53" s="73">
        <f t="shared" si="15"/>
        <v>19752.21354</v>
      </c>
      <c r="V53" s="73">
        <f t="shared" si="15"/>
        <v>19752.21354</v>
      </c>
      <c r="W53" s="73">
        <f t="shared" si="15"/>
        <v>19752.21354</v>
      </c>
      <c r="X53" s="73">
        <f t="shared" si="15"/>
        <v>19752.21354</v>
      </c>
      <c r="Y53" s="73">
        <f t="shared" si="15"/>
        <v>19752.21354</v>
      </c>
      <c r="Z53" s="73">
        <f t="shared" si="15"/>
        <v>19752.21354</v>
      </c>
      <c r="AA53" s="73">
        <f t="shared" si="15"/>
        <v>19752.21354</v>
      </c>
      <c r="AB53" s="73">
        <f t="shared" si="15"/>
        <v>19752.21354</v>
      </c>
      <c r="AC53" s="73">
        <f t="shared" si="15"/>
        <v>19752.21354</v>
      </c>
      <c r="AD53" s="73">
        <f t="shared" si="15"/>
        <v>19752.21354</v>
      </c>
      <c r="AE53" s="73">
        <f t="shared" si="15"/>
        <v>19752.21354</v>
      </c>
      <c r="AF53" s="73">
        <f t="shared" si="15"/>
        <v>19752.21354</v>
      </c>
      <c r="AG53" s="73">
        <f t="shared" si="15"/>
        <v>19752.21354</v>
      </c>
      <c r="AH53" s="73">
        <f t="shared" si="15"/>
        <v>19752.21354</v>
      </c>
      <c r="AI53" s="73">
        <f t="shared" si="15"/>
        <v>19752.21354</v>
      </c>
      <c r="AJ53" s="73">
        <f t="shared" si="15"/>
        <v>19752.21354</v>
      </c>
      <c r="AK53" s="73">
        <f t="shared" si="15"/>
        <v>19752.21354</v>
      </c>
    </row>
    <row r="54" ht="15.0" customHeight="1">
      <c r="A54" s="74" t="s">
        <v>98</v>
      </c>
      <c r="B54" s="75">
        <f>B53</f>
        <v>12100.22135</v>
      </c>
      <c r="C54" s="75">
        <f t="shared" ref="C54:AK54" si="16">C53+B54</f>
        <v>24780.95182</v>
      </c>
      <c r="D54" s="75">
        <f t="shared" si="16"/>
        <v>40084.07943</v>
      </c>
      <c r="E54" s="75">
        <f t="shared" si="16"/>
        <v>59836.29297</v>
      </c>
      <c r="F54" s="75">
        <f t="shared" si="16"/>
        <v>79588.50651</v>
      </c>
      <c r="G54" s="75">
        <f t="shared" si="16"/>
        <v>99340.72005</v>
      </c>
      <c r="H54" s="75">
        <f t="shared" si="16"/>
        <v>119092.9336</v>
      </c>
      <c r="I54" s="75">
        <f t="shared" si="16"/>
        <v>138845.1471</v>
      </c>
      <c r="J54" s="75">
        <f t="shared" si="16"/>
        <v>158597.3607</v>
      </c>
      <c r="K54" s="75">
        <f t="shared" si="16"/>
        <v>178349.5742</v>
      </c>
      <c r="L54" s="75">
        <f t="shared" si="16"/>
        <v>198101.7878</v>
      </c>
      <c r="M54" s="75">
        <f t="shared" si="16"/>
        <v>217854.0013</v>
      </c>
      <c r="N54" s="75">
        <f t="shared" si="16"/>
        <v>237606.2148</v>
      </c>
      <c r="O54" s="75">
        <f t="shared" si="16"/>
        <v>257358.4284</v>
      </c>
      <c r="P54" s="75">
        <f t="shared" si="16"/>
        <v>277110.6419</v>
      </c>
      <c r="Q54" s="75">
        <f t="shared" si="16"/>
        <v>296862.8555</v>
      </c>
      <c r="R54" s="75">
        <f t="shared" si="16"/>
        <v>316615.069</v>
      </c>
      <c r="S54" s="75">
        <f t="shared" si="16"/>
        <v>336367.2826</v>
      </c>
      <c r="T54" s="75">
        <f t="shared" si="16"/>
        <v>356119.4961</v>
      </c>
      <c r="U54" s="75">
        <f t="shared" si="16"/>
        <v>375871.7096</v>
      </c>
      <c r="V54" s="75">
        <f t="shared" si="16"/>
        <v>395623.9232</v>
      </c>
      <c r="W54" s="75">
        <f t="shared" si="16"/>
        <v>415376.1367</v>
      </c>
      <c r="X54" s="75">
        <f t="shared" si="16"/>
        <v>435128.3503</v>
      </c>
      <c r="Y54" s="75">
        <f t="shared" si="16"/>
        <v>454880.5638</v>
      </c>
      <c r="Z54" s="75">
        <f t="shared" si="16"/>
        <v>474632.7773</v>
      </c>
      <c r="AA54" s="75">
        <f t="shared" si="16"/>
        <v>494384.9909</v>
      </c>
      <c r="AB54" s="75">
        <f t="shared" si="16"/>
        <v>514137.2044</v>
      </c>
      <c r="AC54" s="75">
        <f t="shared" si="16"/>
        <v>533889.418</v>
      </c>
      <c r="AD54" s="75">
        <f t="shared" si="16"/>
        <v>553641.6315</v>
      </c>
      <c r="AE54" s="75">
        <f t="shared" si="16"/>
        <v>573393.8451</v>
      </c>
      <c r="AF54" s="75">
        <f t="shared" si="16"/>
        <v>593146.0586</v>
      </c>
      <c r="AG54" s="75">
        <f t="shared" si="16"/>
        <v>612898.2721</v>
      </c>
      <c r="AH54" s="75">
        <f t="shared" si="16"/>
        <v>632650.4857</v>
      </c>
      <c r="AI54" s="75">
        <f t="shared" si="16"/>
        <v>652402.6992</v>
      </c>
      <c r="AJ54" s="75">
        <f t="shared" si="16"/>
        <v>672154.9128</v>
      </c>
      <c r="AK54" s="75">
        <f t="shared" si="16"/>
        <v>691907.1263</v>
      </c>
    </row>
    <row r="55" ht="13.5" customHeight="1">
      <c r="A55" s="3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</row>
    <row r="56" ht="16.5" customHeight="1">
      <c r="A56" s="64" t="s">
        <v>99</v>
      </c>
      <c r="B56" s="65" t="s">
        <v>50</v>
      </c>
      <c r="C56" s="65" t="s">
        <v>51</v>
      </c>
      <c r="D56" s="65" t="s">
        <v>52</v>
      </c>
      <c r="E56" s="65" t="s">
        <v>53</v>
      </c>
      <c r="F56" s="65" t="s">
        <v>54</v>
      </c>
      <c r="G56" s="65" t="s">
        <v>55</v>
      </c>
      <c r="H56" s="65" t="s">
        <v>56</v>
      </c>
      <c r="I56" s="65" t="s">
        <v>57</v>
      </c>
      <c r="J56" s="65" t="s">
        <v>58</v>
      </c>
      <c r="K56" s="65" t="s">
        <v>59</v>
      </c>
      <c r="L56" s="65" t="s">
        <v>60</v>
      </c>
      <c r="M56" s="65" t="s">
        <v>61</v>
      </c>
      <c r="N56" s="65" t="s">
        <v>62</v>
      </c>
      <c r="O56" s="65" t="s">
        <v>63</v>
      </c>
      <c r="P56" s="65" t="s">
        <v>64</v>
      </c>
      <c r="Q56" s="65" t="s">
        <v>65</v>
      </c>
      <c r="R56" s="65" t="s">
        <v>66</v>
      </c>
      <c r="S56" s="65" t="s">
        <v>67</v>
      </c>
      <c r="T56" s="65" t="s">
        <v>68</v>
      </c>
      <c r="U56" s="65" t="s">
        <v>69</v>
      </c>
      <c r="V56" s="65" t="s">
        <v>70</v>
      </c>
      <c r="W56" s="65" t="s">
        <v>71</v>
      </c>
      <c r="X56" s="65" t="s">
        <v>72</v>
      </c>
      <c r="Y56" s="65" t="s">
        <v>73</v>
      </c>
      <c r="Z56" s="65" t="s">
        <v>74</v>
      </c>
      <c r="AA56" s="65" t="s">
        <v>75</v>
      </c>
      <c r="AB56" s="65" t="s">
        <v>76</v>
      </c>
      <c r="AC56" s="65" t="s">
        <v>77</v>
      </c>
      <c r="AD56" s="65" t="s">
        <v>78</v>
      </c>
      <c r="AE56" s="65" t="s">
        <v>79</v>
      </c>
      <c r="AF56" s="65" t="s">
        <v>80</v>
      </c>
      <c r="AG56" s="65" t="s">
        <v>81</v>
      </c>
      <c r="AH56" s="65" t="s">
        <v>82</v>
      </c>
      <c r="AI56" s="65" t="s">
        <v>83</v>
      </c>
      <c r="AJ56" s="65" t="s">
        <v>84</v>
      </c>
      <c r="AK56" s="65" t="s">
        <v>85</v>
      </c>
    </row>
    <row r="57" ht="15.0" customHeight="1">
      <c r="A57" s="66" t="s">
        <v>100</v>
      </c>
      <c r="B57" s="29">
        <f t="shared" ref="B57:AK57" si="17">B43*$B$20-B53</f>
        <v>-11864.11024</v>
      </c>
      <c r="C57" s="29">
        <f t="shared" si="17"/>
        <v>-11671.35547</v>
      </c>
      <c r="D57" s="29">
        <f t="shared" si="17"/>
        <v>-12760.65365</v>
      </c>
      <c r="E57" s="29">
        <f t="shared" si="17"/>
        <v>-14912.19032</v>
      </c>
      <c r="F57" s="29">
        <f t="shared" si="17"/>
        <v>-12672.07979</v>
      </c>
      <c r="G57" s="29">
        <f t="shared" si="17"/>
        <v>-10487.97202</v>
      </c>
      <c r="H57" s="29">
        <f t="shared" si="17"/>
        <v>-8358.46695</v>
      </c>
      <c r="I57" s="29">
        <f t="shared" si="17"/>
        <v>-6282.199504</v>
      </c>
      <c r="J57" s="29">
        <f t="shared" si="17"/>
        <v>-4257.838744</v>
      </c>
      <c r="K57" s="29">
        <f t="shared" si="17"/>
        <v>-2284.087002</v>
      </c>
      <c r="L57" s="29">
        <f t="shared" si="17"/>
        <v>-359.6790548</v>
      </c>
      <c r="M57" s="29">
        <f t="shared" si="17"/>
        <v>1516.618694</v>
      </c>
      <c r="N57" s="29">
        <f t="shared" si="17"/>
        <v>3346.008999</v>
      </c>
      <c r="O57" s="29">
        <f t="shared" si="17"/>
        <v>5129.664547</v>
      </c>
      <c r="P57" s="29">
        <f t="shared" si="17"/>
        <v>6868.728706</v>
      </c>
      <c r="Q57" s="29">
        <f t="shared" si="17"/>
        <v>8564.316261</v>
      </c>
      <c r="R57" s="29">
        <f t="shared" si="17"/>
        <v>10217.51413</v>
      </c>
      <c r="S57" s="29">
        <f t="shared" si="17"/>
        <v>11829.38205</v>
      </c>
      <c r="T57" s="29">
        <f t="shared" si="17"/>
        <v>13400.95327</v>
      </c>
      <c r="U57" s="29">
        <f t="shared" si="17"/>
        <v>14933.23521</v>
      </c>
      <c r="V57" s="29">
        <f t="shared" si="17"/>
        <v>16427.2101</v>
      </c>
      <c r="W57" s="29">
        <f t="shared" si="17"/>
        <v>17883.83562</v>
      </c>
      <c r="X57" s="29">
        <f t="shared" si="17"/>
        <v>19304.0455</v>
      </c>
      <c r="Y57" s="29">
        <f t="shared" si="17"/>
        <v>20688.75014</v>
      </c>
      <c r="Z57" s="29">
        <f t="shared" si="17"/>
        <v>22038.83716</v>
      </c>
      <c r="AA57" s="29">
        <f t="shared" si="17"/>
        <v>23355.172</v>
      </c>
      <c r="AB57" s="29">
        <f t="shared" si="17"/>
        <v>24638.59847</v>
      </c>
      <c r="AC57" s="29">
        <f t="shared" si="17"/>
        <v>25889.93928</v>
      </c>
      <c r="AD57" s="29">
        <f t="shared" si="17"/>
        <v>27109.99657</v>
      </c>
      <c r="AE57" s="29">
        <f t="shared" si="17"/>
        <v>28299.55243</v>
      </c>
      <c r="AF57" s="29">
        <f t="shared" si="17"/>
        <v>29459.36939</v>
      </c>
      <c r="AG57" s="29">
        <f t="shared" si="17"/>
        <v>30590.19093</v>
      </c>
      <c r="AH57" s="29">
        <f t="shared" si="17"/>
        <v>31692.74193</v>
      </c>
      <c r="AI57" s="29">
        <f t="shared" si="17"/>
        <v>32767.72916</v>
      </c>
      <c r="AJ57" s="29">
        <f t="shared" si="17"/>
        <v>33815.8417</v>
      </c>
      <c r="AK57" s="29">
        <f t="shared" si="17"/>
        <v>34837.75143</v>
      </c>
    </row>
    <row r="58" ht="13.5" customHeight="1">
      <c r="A58" s="27" t="s">
        <v>101</v>
      </c>
      <c r="B58" s="29">
        <f t="shared" ref="B58:AK58" si="18">B45-B54</f>
        <v>-11864.11024</v>
      </c>
      <c r="C58" s="29">
        <f t="shared" si="18"/>
        <v>-23535.46571</v>
      </c>
      <c r="D58" s="29">
        <f t="shared" si="18"/>
        <v>-36296.11936</v>
      </c>
      <c r="E58" s="29">
        <f t="shared" si="18"/>
        <v>-51208.30968</v>
      </c>
      <c r="F58" s="29">
        <f t="shared" si="18"/>
        <v>-63880.38947</v>
      </c>
      <c r="G58" s="29">
        <f t="shared" si="18"/>
        <v>-74368.36149</v>
      </c>
      <c r="H58" s="29">
        <f t="shared" si="18"/>
        <v>-82726.82844</v>
      </c>
      <c r="I58" s="29">
        <f t="shared" si="18"/>
        <v>-89009.02795</v>
      </c>
      <c r="J58" s="29">
        <f t="shared" si="18"/>
        <v>-93266.86669</v>
      </c>
      <c r="K58" s="29">
        <f t="shared" si="18"/>
        <v>-95550.95369</v>
      </c>
      <c r="L58" s="29">
        <f t="shared" si="18"/>
        <v>-95910.63275</v>
      </c>
      <c r="M58" s="29">
        <f t="shared" si="18"/>
        <v>-94394.01405</v>
      </c>
      <c r="N58" s="29">
        <f t="shared" si="18"/>
        <v>-91048.00505</v>
      </c>
      <c r="O58" s="29">
        <f t="shared" si="18"/>
        <v>-85918.34051</v>
      </c>
      <c r="P58" s="29">
        <f t="shared" si="18"/>
        <v>-79049.6118</v>
      </c>
      <c r="Q58" s="29">
        <f t="shared" si="18"/>
        <v>-70485.29554</v>
      </c>
      <c r="R58" s="29">
        <f t="shared" si="18"/>
        <v>-60267.78141</v>
      </c>
      <c r="S58" s="29">
        <f t="shared" si="18"/>
        <v>-48438.39937</v>
      </c>
      <c r="T58" s="29">
        <f t="shared" si="18"/>
        <v>-35037.4461</v>
      </c>
      <c r="U58" s="29">
        <f t="shared" si="18"/>
        <v>-20104.21089</v>
      </c>
      <c r="V58" s="29">
        <f t="shared" si="18"/>
        <v>-3677.000791</v>
      </c>
      <c r="W58" s="29">
        <f t="shared" si="18"/>
        <v>14206.83483</v>
      </c>
      <c r="X58" s="29">
        <f t="shared" si="18"/>
        <v>33510.88033</v>
      </c>
      <c r="Y58" s="29">
        <f t="shared" si="18"/>
        <v>54199.63047</v>
      </c>
      <c r="Z58" s="29">
        <f t="shared" si="18"/>
        <v>76238.46763</v>
      </c>
      <c r="AA58" s="29">
        <f t="shared" si="18"/>
        <v>99593.63963</v>
      </c>
      <c r="AB58" s="29">
        <f t="shared" si="18"/>
        <v>124232.2381</v>
      </c>
      <c r="AC58" s="29">
        <f t="shared" si="18"/>
        <v>150122.1774</v>
      </c>
      <c r="AD58" s="29">
        <f t="shared" si="18"/>
        <v>177232.174</v>
      </c>
      <c r="AE58" s="29">
        <f t="shared" si="18"/>
        <v>205531.7264</v>
      </c>
      <c r="AF58" s="29">
        <f t="shared" si="18"/>
        <v>234991.0958</v>
      </c>
      <c r="AG58" s="29">
        <f t="shared" si="18"/>
        <v>265581.2867</v>
      </c>
      <c r="AH58" s="29">
        <f t="shared" si="18"/>
        <v>297274.0287</v>
      </c>
      <c r="AI58" s="29">
        <f t="shared" si="18"/>
        <v>330041.7578</v>
      </c>
      <c r="AJ58" s="29">
        <f t="shared" si="18"/>
        <v>363857.5995</v>
      </c>
      <c r="AK58" s="29">
        <f t="shared" si="18"/>
        <v>398695.3509</v>
      </c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ht="19.5" customHeight="1">
      <c r="A76" s="76" t="s">
        <v>102</v>
      </c>
      <c r="B76" s="11"/>
      <c r="C76" s="11"/>
      <c r="D76" s="11"/>
      <c r="E76" s="11"/>
      <c r="F76" s="11"/>
      <c r="G76" s="1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ht="15.0" customHeight="1">
      <c r="A77" s="5"/>
      <c r="B77" s="5"/>
      <c r="C77" s="5"/>
      <c r="D77" s="5"/>
      <c r="E77" s="5"/>
      <c r="F77" s="5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ht="13.5" customHeight="1">
      <c r="A78" s="3"/>
      <c r="B78" s="77" t="s">
        <v>50</v>
      </c>
      <c r="C78" s="77" t="s">
        <v>51</v>
      </c>
      <c r="D78" s="77" t="s">
        <v>52</v>
      </c>
      <c r="E78" s="77" t="s">
        <v>53</v>
      </c>
      <c r="F78" s="77" t="s">
        <v>54</v>
      </c>
      <c r="G78" s="77" t="s">
        <v>55</v>
      </c>
      <c r="H78" s="77" t="s">
        <v>56</v>
      </c>
      <c r="I78" s="77" t="s">
        <v>57</v>
      </c>
      <c r="J78" s="77" t="s">
        <v>58</v>
      </c>
      <c r="K78" s="77" t="s">
        <v>59</v>
      </c>
      <c r="L78" s="77" t="s">
        <v>60</v>
      </c>
      <c r="M78" s="77" t="s">
        <v>61</v>
      </c>
      <c r="N78" s="77" t="s">
        <v>62</v>
      </c>
      <c r="O78" s="77" t="s">
        <v>63</v>
      </c>
      <c r="P78" s="77" t="s">
        <v>64</v>
      </c>
      <c r="Q78" s="77" t="s">
        <v>65</v>
      </c>
      <c r="R78" s="77" t="s">
        <v>66</v>
      </c>
      <c r="S78" s="77" t="s">
        <v>67</v>
      </c>
      <c r="T78" s="77" t="s">
        <v>68</v>
      </c>
      <c r="U78" s="77" t="s">
        <v>69</v>
      </c>
      <c r="V78" s="77" t="s">
        <v>70</v>
      </c>
      <c r="W78" s="77" t="s">
        <v>71</v>
      </c>
      <c r="X78" s="77" t="s">
        <v>72</v>
      </c>
      <c r="Y78" s="77" t="s">
        <v>73</v>
      </c>
      <c r="Z78" s="77" t="s">
        <v>74</v>
      </c>
      <c r="AA78" s="77" t="s">
        <v>75</v>
      </c>
      <c r="AB78" s="77" t="s">
        <v>76</v>
      </c>
      <c r="AC78" s="77" t="s">
        <v>77</v>
      </c>
      <c r="AD78" s="77" t="s">
        <v>78</v>
      </c>
      <c r="AE78" s="77" t="s">
        <v>79</v>
      </c>
      <c r="AF78" s="77" t="s">
        <v>80</v>
      </c>
      <c r="AG78" s="77" t="s">
        <v>81</v>
      </c>
      <c r="AH78" s="77" t="s">
        <v>82</v>
      </c>
      <c r="AI78" s="77" t="s">
        <v>83</v>
      </c>
      <c r="AJ78" s="77" t="s">
        <v>84</v>
      </c>
      <c r="AK78" s="77" t="s">
        <v>85</v>
      </c>
    </row>
    <row r="79" ht="13.5" customHeight="1">
      <c r="A79" s="17" t="s">
        <v>103</v>
      </c>
      <c r="B79" s="78">
        <v>2.0</v>
      </c>
      <c r="C79" s="78">
        <v>2.0</v>
      </c>
      <c r="D79" s="78">
        <v>2.0</v>
      </c>
      <c r="E79" s="78">
        <v>2.0</v>
      </c>
      <c r="F79" s="78">
        <v>2.0</v>
      </c>
      <c r="G79" s="78">
        <v>2.0</v>
      </c>
      <c r="H79" s="78">
        <v>2.0</v>
      </c>
      <c r="I79" s="78">
        <v>2.0</v>
      </c>
      <c r="J79" s="78">
        <v>2.0</v>
      </c>
      <c r="K79" s="78">
        <v>2.0</v>
      </c>
      <c r="L79" s="78">
        <v>2.0</v>
      </c>
      <c r="M79" s="78">
        <v>2.0</v>
      </c>
      <c r="N79" s="78">
        <v>2.0</v>
      </c>
      <c r="O79" s="78">
        <v>2.0</v>
      </c>
      <c r="P79" s="78">
        <v>2.0</v>
      </c>
      <c r="Q79" s="78">
        <v>2.0</v>
      </c>
      <c r="R79" s="78">
        <v>2.0</v>
      </c>
      <c r="S79" s="78">
        <v>2.0</v>
      </c>
      <c r="T79" s="78">
        <v>2.0</v>
      </c>
      <c r="U79" s="78">
        <v>2.0</v>
      </c>
      <c r="V79" s="78">
        <v>2.0</v>
      </c>
      <c r="W79" s="78">
        <v>2.0</v>
      </c>
      <c r="X79" s="78">
        <v>2.0</v>
      </c>
      <c r="Y79" s="78">
        <v>2.0</v>
      </c>
      <c r="Z79" s="78">
        <v>2.0</v>
      </c>
      <c r="AA79" s="78">
        <v>2.0</v>
      </c>
      <c r="AB79" s="78">
        <v>2.0</v>
      </c>
      <c r="AC79" s="78">
        <v>2.0</v>
      </c>
      <c r="AD79" s="78">
        <v>2.0</v>
      </c>
      <c r="AE79" s="78">
        <v>2.0</v>
      </c>
      <c r="AF79" s="78">
        <v>2.0</v>
      </c>
      <c r="AG79" s="78">
        <v>2.0</v>
      </c>
      <c r="AH79" s="78">
        <v>2.0</v>
      </c>
      <c r="AI79" s="78">
        <v>2.0</v>
      </c>
      <c r="AJ79" s="78">
        <v>2.0</v>
      </c>
      <c r="AK79" s="78">
        <v>2.0</v>
      </c>
    </row>
    <row r="80" ht="13.5" hidden="1" customHeight="1">
      <c r="A80" s="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ht="13.5" hidden="1" customHeight="1">
      <c r="A81" s="79" t="s">
        <v>104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ht="13.5" hidden="1" customHeight="1">
      <c r="A82" s="79" t="s">
        <v>105</v>
      </c>
      <c r="B82" s="65" t="s">
        <v>50</v>
      </c>
      <c r="C82" s="65" t="s">
        <v>51</v>
      </c>
      <c r="D82" s="65" t="s">
        <v>52</v>
      </c>
      <c r="E82" s="65" t="s">
        <v>53</v>
      </c>
      <c r="F82" s="65" t="s">
        <v>54</v>
      </c>
      <c r="G82" s="65" t="s">
        <v>55</v>
      </c>
      <c r="H82" s="65" t="s">
        <v>56</v>
      </c>
      <c r="I82" s="65" t="s">
        <v>57</v>
      </c>
      <c r="J82" s="65" t="s">
        <v>58</v>
      </c>
      <c r="K82" s="65" t="s">
        <v>59</v>
      </c>
      <c r="L82" s="65" t="s">
        <v>60</v>
      </c>
      <c r="M82" s="65" t="s">
        <v>61</v>
      </c>
      <c r="N82" s="65" t="s">
        <v>62</v>
      </c>
      <c r="O82" s="65" t="s">
        <v>63</v>
      </c>
      <c r="P82" s="65" t="s">
        <v>64</v>
      </c>
      <c r="Q82" s="65" t="s">
        <v>65</v>
      </c>
      <c r="R82" s="65" t="s">
        <v>66</v>
      </c>
      <c r="S82" s="65" t="s">
        <v>67</v>
      </c>
      <c r="T82" s="65" t="s">
        <v>68</v>
      </c>
      <c r="U82" s="65" t="s">
        <v>69</v>
      </c>
      <c r="V82" s="65" t="s">
        <v>70</v>
      </c>
      <c r="W82" s="65" t="s">
        <v>71</v>
      </c>
      <c r="X82" s="65" t="s">
        <v>72</v>
      </c>
      <c r="Y82" s="65" t="s">
        <v>73</v>
      </c>
      <c r="Z82" s="65" t="s">
        <v>74</v>
      </c>
      <c r="AA82" s="65" t="s">
        <v>75</v>
      </c>
      <c r="AB82" s="65" t="s">
        <v>76</v>
      </c>
      <c r="AC82" s="65" t="s">
        <v>77</v>
      </c>
      <c r="AD82" s="65" t="s">
        <v>78</v>
      </c>
      <c r="AE82" s="65" t="s">
        <v>79</v>
      </c>
      <c r="AF82" s="65" t="s">
        <v>80</v>
      </c>
      <c r="AG82" s="65" t="s">
        <v>81</v>
      </c>
      <c r="AH82" s="65" t="s">
        <v>82</v>
      </c>
      <c r="AI82" s="65" t="s">
        <v>83</v>
      </c>
      <c r="AJ82" s="65" t="s">
        <v>84</v>
      </c>
      <c r="AK82" s="65" t="s">
        <v>85</v>
      </c>
    </row>
    <row r="83" ht="13.5" hidden="1" customHeight="1">
      <c r="A83" s="27" t="s">
        <v>106</v>
      </c>
      <c r="B83" s="80">
        <f t="shared" ref="B83:AK83" si="19">B79</f>
        <v>2</v>
      </c>
      <c r="C83" s="80">
        <f t="shared" si="19"/>
        <v>2</v>
      </c>
      <c r="D83" s="80">
        <f t="shared" si="19"/>
        <v>2</v>
      </c>
      <c r="E83" s="80">
        <f t="shared" si="19"/>
        <v>2</v>
      </c>
      <c r="F83" s="80">
        <f t="shared" si="19"/>
        <v>2</v>
      </c>
      <c r="G83" s="80">
        <f t="shared" si="19"/>
        <v>2</v>
      </c>
      <c r="H83" s="80">
        <f t="shared" si="19"/>
        <v>2</v>
      </c>
      <c r="I83" s="80">
        <f t="shared" si="19"/>
        <v>2</v>
      </c>
      <c r="J83" s="80">
        <f t="shared" si="19"/>
        <v>2</v>
      </c>
      <c r="K83" s="80">
        <f t="shared" si="19"/>
        <v>2</v>
      </c>
      <c r="L83" s="80">
        <f t="shared" si="19"/>
        <v>2</v>
      </c>
      <c r="M83" s="80">
        <f t="shared" si="19"/>
        <v>2</v>
      </c>
      <c r="N83" s="80">
        <f t="shared" si="19"/>
        <v>2</v>
      </c>
      <c r="O83" s="80">
        <f t="shared" si="19"/>
        <v>2</v>
      </c>
      <c r="P83" s="80">
        <f t="shared" si="19"/>
        <v>2</v>
      </c>
      <c r="Q83" s="80">
        <f t="shared" si="19"/>
        <v>2</v>
      </c>
      <c r="R83" s="80">
        <f t="shared" si="19"/>
        <v>2</v>
      </c>
      <c r="S83" s="80">
        <f t="shared" si="19"/>
        <v>2</v>
      </c>
      <c r="T83" s="80">
        <f t="shared" si="19"/>
        <v>2</v>
      </c>
      <c r="U83" s="80">
        <f t="shared" si="19"/>
        <v>2</v>
      </c>
      <c r="V83" s="80">
        <f t="shared" si="19"/>
        <v>2</v>
      </c>
      <c r="W83" s="80">
        <f t="shared" si="19"/>
        <v>2</v>
      </c>
      <c r="X83" s="80">
        <f t="shared" si="19"/>
        <v>2</v>
      </c>
      <c r="Y83" s="80">
        <f t="shared" si="19"/>
        <v>2</v>
      </c>
      <c r="Z83" s="80">
        <f t="shared" si="19"/>
        <v>2</v>
      </c>
      <c r="AA83" s="80">
        <f t="shared" si="19"/>
        <v>2</v>
      </c>
      <c r="AB83" s="80">
        <f t="shared" si="19"/>
        <v>2</v>
      </c>
      <c r="AC83" s="80">
        <f t="shared" si="19"/>
        <v>2</v>
      </c>
      <c r="AD83" s="80">
        <f t="shared" si="19"/>
        <v>2</v>
      </c>
      <c r="AE83" s="80">
        <f t="shared" si="19"/>
        <v>2</v>
      </c>
      <c r="AF83" s="80">
        <f t="shared" si="19"/>
        <v>2</v>
      </c>
      <c r="AG83" s="80">
        <f t="shared" si="19"/>
        <v>2</v>
      </c>
      <c r="AH83" s="80">
        <f t="shared" si="19"/>
        <v>2</v>
      </c>
      <c r="AI83" s="80">
        <f t="shared" si="19"/>
        <v>2</v>
      </c>
      <c r="AJ83" s="80">
        <f t="shared" si="19"/>
        <v>2</v>
      </c>
      <c r="AK83" s="80">
        <f t="shared" si="19"/>
        <v>2</v>
      </c>
    </row>
    <row r="84" ht="13.5" hidden="1" customHeight="1">
      <c r="A84" s="27" t="s">
        <v>107</v>
      </c>
      <c r="B84" s="3"/>
      <c r="C84" s="80">
        <f t="shared" ref="C84:AK84" si="20">B83</f>
        <v>2</v>
      </c>
      <c r="D84" s="80">
        <f t="shared" si="20"/>
        <v>2</v>
      </c>
      <c r="E84" s="80">
        <f t="shared" si="20"/>
        <v>2</v>
      </c>
      <c r="F84" s="80">
        <f t="shared" si="20"/>
        <v>2</v>
      </c>
      <c r="G84" s="80">
        <f t="shared" si="20"/>
        <v>2</v>
      </c>
      <c r="H84" s="80">
        <f t="shared" si="20"/>
        <v>2</v>
      </c>
      <c r="I84" s="80">
        <f t="shared" si="20"/>
        <v>2</v>
      </c>
      <c r="J84" s="80">
        <f t="shared" si="20"/>
        <v>2</v>
      </c>
      <c r="K84" s="80">
        <f t="shared" si="20"/>
        <v>2</v>
      </c>
      <c r="L84" s="80">
        <f t="shared" si="20"/>
        <v>2</v>
      </c>
      <c r="M84" s="80">
        <f t="shared" si="20"/>
        <v>2</v>
      </c>
      <c r="N84" s="80">
        <f t="shared" si="20"/>
        <v>2</v>
      </c>
      <c r="O84" s="80">
        <f t="shared" si="20"/>
        <v>2</v>
      </c>
      <c r="P84" s="80">
        <f t="shared" si="20"/>
        <v>2</v>
      </c>
      <c r="Q84" s="80">
        <f t="shared" si="20"/>
        <v>2</v>
      </c>
      <c r="R84" s="80">
        <f t="shared" si="20"/>
        <v>2</v>
      </c>
      <c r="S84" s="80">
        <f t="shared" si="20"/>
        <v>2</v>
      </c>
      <c r="T84" s="80">
        <f t="shared" si="20"/>
        <v>2</v>
      </c>
      <c r="U84" s="80">
        <f t="shared" si="20"/>
        <v>2</v>
      </c>
      <c r="V84" s="80">
        <f t="shared" si="20"/>
        <v>2</v>
      </c>
      <c r="W84" s="80">
        <f t="shared" si="20"/>
        <v>2</v>
      </c>
      <c r="X84" s="80">
        <f t="shared" si="20"/>
        <v>2</v>
      </c>
      <c r="Y84" s="80">
        <f t="shared" si="20"/>
        <v>2</v>
      </c>
      <c r="Z84" s="80">
        <f t="shared" si="20"/>
        <v>2</v>
      </c>
      <c r="AA84" s="80">
        <f t="shared" si="20"/>
        <v>2</v>
      </c>
      <c r="AB84" s="80">
        <f t="shared" si="20"/>
        <v>2</v>
      </c>
      <c r="AC84" s="80">
        <f t="shared" si="20"/>
        <v>2</v>
      </c>
      <c r="AD84" s="80">
        <f t="shared" si="20"/>
        <v>2</v>
      </c>
      <c r="AE84" s="80">
        <f t="shared" si="20"/>
        <v>2</v>
      </c>
      <c r="AF84" s="80">
        <f t="shared" si="20"/>
        <v>2</v>
      </c>
      <c r="AG84" s="80">
        <f t="shared" si="20"/>
        <v>2</v>
      </c>
      <c r="AH84" s="80">
        <f t="shared" si="20"/>
        <v>2</v>
      </c>
      <c r="AI84" s="80">
        <f t="shared" si="20"/>
        <v>2</v>
      </c>
      <c r="AJ84" s="80">
        <f t="shared" si="20"/>
        <v>2</v>
      </c>
      <c r="AK84" s="80">
        <f t="shared" si="20"/>
        <v>2</v>
      </c>
    </row>
    <row r="85" ht="13.5" hidden="1" customHeight="1">
      <c r="A85" s="27" t="s">
        <v>108</v>
      </c>
      <c r="B85" s="3"/>
      <c r="C85" s="3"/>
      <c r="D85" s="80">
        <f t="shared" ref="D85:AK85" si="21">C84</f>
        <v>2</v>
      </c>
      <c r="E85" s="80">
        <f t="shared" si="21"/>
        <v>2</v>
      </c>
      <c r="F85" s="80">
        <f t="shared" si="21"/>
        <v>2</v>
      </c>
      <c r="G85" s="80">
        <f t="shared" si="21"/>
        <v>2</v>
      </c>
      <c r="H85" s="80">
        <f t="shared" si="21"/>
        <v>2</v>
      </c>
      <c r="I85" s="80">
        <f t="shared" si="21"/>
        <v>2</v>
      </c>
      <c r="J85" s="80">
        <f t="shared" si="21"/>
        <v>2</v>
      </c>
      <c r="K85" s="80">
        <f t="shared" si="21"/>
        <v>2</v>
      </c>
      <c r="L85" s="80">
        <f t="shared" si="21"/>
        <v>2</v>
      </c>
      <c r="M85" s="80">
        <f t="shared" si="21"/>
        <v>2</v>
      </c>
      <c r="N85" s="80">
        <f t="shared" si="21"/>
        <v>2</v>
      </c>
      <c r="O85" s="80">
        <f t="shared" si="21"/>
        <v>2</v>
      </c>
      <c r="P85" s="80">
        <f t="shared" si="21"/>
        <v>2</v>
      </c>
      <c r="Q85" s="80">
        <f t="shared" si="21"/>
        <v>2</v>
      </c>
      <c r="R85" s="80">
        <f t="shared" si="21"/>
        <v>2</v>
      </c>
      <c r="S85" s="80">
        <f t="shared" si="21"/>
        <v>2</v>
      </c>
      <c r="T85" s="80">
        <f t="shared" si="21"/>
        <v>2</v>
      </c>
      <c r="U85" s="80">
        <f t="shared" si="21"/>
        <v>2</v>
      </c>
      <c r="V85" s="80">
        <f t="shared" si="21"/>
        <v>2</v>
      </c>
      <c r="W85" s="80">
        <f t="shared" si="21"/>
        <v>2</v>
      </c>
      <c r="X85" s="80">
        <f t="shared" si="21"/>
        <v>2</v>
      </c>
      <c r="Y85" s="80">
        <f t="shared" si="21"/>
        <v>2</v>
      </c>
      <c r="Z85" s="80">
        <f t="shared" si="21"/>
        <v>2</v>
      </c>
      <c r="AA85" s="80">
        <f t="shared" si="21"/>
        <v>2</v>
      </c>
      <c r="AB85" s="80">
        <f t="shared" si="21"/>
        <v>2</v>
      </c>
      <c r="AC85" s="80">
        <f t="shared" si="21"/>
        <v>2</v>
      </c>
      <c r="AD85" s="80">
        <f t="shared" si="21"/>
        <v>2</v>
      </c>
      <c r="AE85" s="80">
        <f t="shared" si="21"/>
        <v>2</v>
      </c>
      <c r="AF85" s="80">
        <f t="shared" si="21"/>
        <v>2</v>
      </c>
      <c r="AG85" s="80">
        <f t="shared" si="21"/>
        <v>2</v>
      </c>
      <c r="AH85" s="80">
        <f t="shared" si="21"/>
        <v>2</v>
      </c>
      <c r="AI85" s="80">
        <f t="shared" si="21"/>
        <v>2</v>
      </c>
      <c r="AJ85" s="80">
        <f t="shared" si="21"/>
        <v>2</v>
      </c>
      <c r="AK85" s="80">
        <f t="shared" si="21"/>
        <v>2</v>
      </c>
    </row>
    <row r="86" ht="13.5" hidden="1" customHeight="1">
      <c r="A86" s="27" t="s">
        <v>109</v>
      </c>
      <c r="B86" s="3"/>
      <c r="C86" s="3"/>
      <c r="D86" s="3"/>
      <c r="E86" s="80">
        <f t="shared" ref="E86:AK86" si="22">D85</f>
        <v>2</v>
      </c>
      <c r="F86" s="80">
        <f t="shared" si="22"/>
        <v>2</v>
      </c>
      <c r="G86" s="80">
        <f t="shared" si="22"/>
        <v>2</v>
      </c>
      <c r="H86" s="80">
        <f t="shared" si="22"/>
        <v>2</v>
      </c>
      <c r="I86" s="80">
        <f t="shared" si="22"/>
        <v>2</v>
      </c>
      <c r="J86" s="80">
        <f t="shared" si="22"/>
        <v>2</v>
      </c>
      <c r="K86" s="80">
        <f t="shared" si="22"/>
        <v>2</v>
      </c>
      <c r="L86" s="80">
        <f t="shared" si="22"/>
        <v>2</v>
      </c>
      <c r="M86" s="80">
        <f t="shared" si="22"/>
        <v>2</v>
      </c>
      <c r="N86" s="80">
        <f t="shared" si="22"/>
        <v>2</v>
      </c>
      <c r="O86" s="80">
        <f t="shared" si="22"/>
        <v>2</v>
      </c>
      <c r="P86" s="80">
        <f t="shared" si="22"/>
        <v>2</v>
      </c>
      <c r="Q86" s="80">
        <f t="shared" si="22"/>
        <v>2</v>
      </c>
      <c r="R86" s="80">
        <f t="shared" si="22"/>
        <v>2</v>
      </c>
      <c r="S86" s="80">
        <f t="shared" si="22"/>
        <v>2</v>
      </c>
      <c r="T86" s="80">
        <f t="shared" si="22"/>
        <v>2</v>
      </c>
      <c r="U86" s="80">
        <f t="shared" si="22"/>
        <v>2</v>
      </c>
      <c r="V86" s="80">
        <f t="shared" si="22"/>
        <v>2</v>
      </c>
      <c r="W86" s="80">
        <f t="shared" si="22"/>
        <v>2</v>
      </c>
      <c r="X86" s="80">
        <f t="shared" si="22"/>
        <v>2</v>
      </c>
      <c r="Y86" s="80">
        <f t="shared" si="22"/>
        <v>2</v>
      </c>
      <c r="Z86" s="80">
        <f t="shared" si="22"/>
        <v>2</v>
      </c>
      <c r="AA86" s="80">
        <f t="shared" si="22"/>
        <v>2</v>
      </c>
      <c r="AB86" s="80">
        <f t="shared" si="22"/>
        <v>2</v>
      </c>
      <c r="AC86" s="80">
        <f t="shared" si="22"/>
        <v>2</v>
      </c>
      <c r="AD86" s="80">
        <f t="shared" si="22"/>
        <v>2</v>
      </c>
      <c r="AE86" s="80">
        <f t="shared" si="22"/>
        <v>2</v>
      </c>
      <c r="AF86" s="80">
        <f t="shared" si="22"/>
        <v>2</v>
      </c>
      <c r="AG86" s="80">
        <f t="shared" si="22"/>
        <v>2</v>
      </c>
      <c r="AH86" s="80">
        <f t="shared" si="22"/>
        <v>2</v>
      </c>
      <c r="AI86" s="80">
        <f t="shared" si="22"/>
        <v>2</v>
      </c>
      <c r="AJ86" s="80">
        <f t="shared" si="22"/>
        <v>2</v>
      </c>
      <c r="AK86" s="80">
        <f t="shared" si="22"/>
        <v>2</v>
      </c>
    </row>
    <row r="87" ht="13.5" hidden="1" customHeight="1">
      <c r="A87" s="27" t="s">
        <v>110</v>
      </c>
      <c r="B87" s="3"/>
      <c r="C87" s="3"/>
      <c r="D87" s="3"/>
      <c r="E87" s="3"/>
      <c r="F87" s="80">
        <f t="shared" ref="F87:AK87" si="23">E86</f>
        <v>2</v>
      </c>
      <c r="G87" s="80">
        <f t="shared" si="23"/>
        <v>2</v>
      </c>
      <c r="H87" s="80">
        <f t="shared" si="23"/>
        <v>2</v>
      </c>
      <c r="I87" s="80">
        <f t="shared" si="23"/>
        <v>2</v>
      </c>
      <c r="J87" s="80">
        <f t="shared" si="23"/>
        <v>2</v>
      </c>
      <c r="K87" s="80">
        <f t="shared" si="23"/>
        <v>2</v>
      </c>
      <c r="L87" s="80">
        <f t="shared" si="23"/>
        <v>2</v>
      </c>
      <c r="M87" s="80">
        <f t="shared" si="23"/>
        <v>2</v>
      </c>
      <c r="N87" s="80">
        <f t="shared" si="23"/>
        <v>2</v>
      </c>
      <c r="O87" s="80">
        <f t="shared" si="23"/>
        <v>2</v>
      </c>
      <c r="P87" s="80">
        <f t="shared" si="23"/>
        <v>2</v>
      </c>
      <c r="Q87" s="80">
        <f t="shared" si="23"/>
        <v>2</v>
      </c>
      <c r="R87" s="80">
        <f t="shared" si="23"/>
        <v>2</v>
      </c>
      <c r="S87" s="80">
        <f t="shared" si="23"/>
        <v>2</v>
      </c>
      <c r="T87" s="80">
        <f t="shared" si="23"/>
        <v>2</v>
      </c>
      <c r="U87" s="80">
        <f t="shared" si="23"/>
        <v>2</v>
      </c>
      <c r="V87" s="80">
        <f t="shared" si="23"/>
        <v>2</v>
      </c>
      <c r="W87" s="80">
        <f t="shared" si="23"/>
        <v>2</v>
      </c>
      <c r="X87" s="80">
        <f t="shared" si="23"/>
        <v>2</v>
      </c>
      <c r="Y87" s="80">
        <f t="shared" si="23"/>
        <v>2</v>
      </c>
      <c r="Z87" s="80">
        <f t="shared" si="23"/>
        <v>2</v>
      </c>
      <c r="AA87" s="80">
        <f t="shared" si="23"/>
        <v>2</v>
      </c>
      <c r="AB87" s="80">
        <f t="shared" si="23"/>
        <v>2</v>
      </c>
      <c r="AC87" s="80">
        <f t="shared" si="23"/>
        <v>2</v>
      </c>
      <c r="AD87" s="80">
        <f t="shared" si="23"/>
        <v>2</v>
      </c>
      <c r="AE87" s="80">
        <f t="shared" si="23"/>
        <v>2</v>
      </c>
      <c r="AF87" s="80">
        <f t="shared" si="23"/>
        <v>2</v>
      </c>
      <c r="AG87" s="80">
        <f t="shared" si="23"/>
        <v>2</v>
      </c>
      <c r="AH87" s="80">
        <f t="shared" si="23"/>
        <v>2</v>
      </c>
      <c r="AI87" s="80">
        <f t="shared" si="23"/>
        <v>2</v>
      </c>
      <c r="AJ87" s="80">
        <f t="shared" si="23"/>
        <v>2</v>
      </c>
      <c r="AK87" s="80">
        <f t="shared" si="23"/>
        <v>2</v>
      </c>
    </row>
    <row r="88" ht="13.5" hidden="1" customHeight="1">
      <c r="A88" s="27" t="s">
        <v>111</v>
      </c>
      <c r="B88" s="3"/>
      <c r="C88" s="3"/>
      <c r="D88" s="3"/>
      <c r="E88" s="3"/>
      <c r="F88" s="3"/>
      <c r="G88" s="80">
        <f t="shared" ref="G88:AK88" si="24">F87</f>
        <v>2</v>
      </c>
      <c r="H88" s="80">
        <f t="shared" si="24"/>
        <v>2</v>
      </c>
      <c r="I88" s="80">
        <f t="shared" si="24"/>
        <v>2</v>
      </c>
      <c r="J88" s="80">
        <f t="shared" si="24"/>
        <v>2</v>
      </c>
      <c r="K88" s="80">
        <f t="shared" si="24"/>
        <v>2</v>
      </c>
      <c r="L88" s="80">
        <f t="shared" si="24"/>
        <v>2</v>
      </c>
      <c r="M88" s="80">
        <f t="shared" si="24"/>
        <v>2</v>
      </c>
      <c r="N88" s="80">
        <f t="shared" si="24"/>
        <v>2</v>
      </c>
      <c r="O88" s="80">
        <f t="shared" si="24"/>
        <v>2</v>
      </c>
      <c r="P88" s="80">
        <f t="shared" si="24"/>
        <v>2</v>
      </c>
      <c r="Q88" s="80">
        <f t="shared" si="24"/>
        <v>2</v>
      </c>
      <c r="R88" s="80">
        <f t="shared" si="24"/>
        <v>2</v>
      </c>
      <c r="S88" s="80">
        <f t="shared" si="24"/>
        <v>2</v>
      </c>
      <c r="T88" s="80">
        <f t="shared" si="24"/>
        <v>2</v>
      </c>
      <c r="U88" s="80">
        <f t="shared" si="24"/>
        <v>2</v>
      </c>
      <c r="V88" s="80">
        <f t="shared" si="24"/>
        <v>2</v>
      </c>
      <c r="W88" s="80">
        <f t="shared" si="24"/>
        <v>2</v>
      </c>
      <c r="X88" s="80">
        <f t="shared" si="24"/>
        <v>2</v>
      </c>
      <c r="Y88" s="80">
        <f t="shared" si="24"/>
        <v>2</v>
      </c>
      <c r="Z88" s="80">
        <f t="shared" si="24"/>
        <v>2</v>
      </c>
      <c r="AA88" s="80">
        <f t="shared" si="24"/>
        <v>2</v>
      </c>
      <c r="AB88" s="80">
        <f t="shared" si="24"/>
        <v>2</v>
      </c>
      <c r="AC88" s="80">
        <f t="shared" si="24"/>
        <v>2</v>
      </c>
      <c r="AD88" s="80">
        <f t="shared" si="24"/>
        <v>2</v>
      </c>
      <c r="AE88" s="80">
        <f t="shared" si="24"/>
        <v>2</v>
      </c>
      <c r="AF88" s="80">
        <f t="shared" si="24"/>
        <v>2</v>
      </c>
      <c r="AG88" s="80">
        <f t="shared" si="24"/>
        <v>2</v>
      </c>
      <c r="AH88" s="80">
        <f t="shared" si="24"/>
        <v>2</v>
      </c>
      <c r="AI88" s="80">
        <f t="shared" si="24"/>
        <v>2</v>
      </c>
      <c r="AJ88" s="80">
        <f t="shared" si="24"/>
        <v>2</v>
      </c>
      <c r="AK88" s="80">
        <f t="shared" si="24"/>
        <v>2</v>
      </c>
    </row>
    <row r="89" ht="13.5" hidden="1" customHeight="1">
      <c r="A89" s="27" t="s">
        <v>112</v>
      </c>
      <c r="B89" s="3"/>
      <c r="C89" s="3"/>
      <c r="D89" s="3"/>
      <c r="E89" s="3"/>
      <c r="F89" s="3"/>
      <c r="G89" s="3"/>
      <c r="H89" s="80">
        <f t="shared" ref="H89:AK89" si="25">G88</f>
        <v>2</v>
      </c>
      <c r="I89" s="80">
        <f t="shared" si="25"/>
        <v>2</v>
      </c>
      <c r="J89" s="80">
        <f t="shared" si="25"/>
        <v>2</v>
      </c>
      <c r="K89" s="80">
        <f t="shared" si="25"/>
        <v>2</v>
      </c>
      <c r="L89" s="80">
        <f t="shared" si="25"/>
        <v>2</v>
      </c>
      <c r="M89" s="80">
        <f t="shared" si="25"/>
        <v>2</v>
      </c>
      <c r="N89" s="80">
        <f t="shared" si="25"/>
        <v>2</v>
      </c>
      <c r="O89" s="80">
        <f t="shared" si="25"/>
        <v>2</v>
      </c>
      <c r="P89" s="80">
        <f t="shared" si="25"/>
        <v>2</v>
      </c>
      <c r="Q89" s="80">
        <f t="shared" si="25"/>
        <v>2</v>
      </c>
      <c r="R89" s="80">
        <f t="shared" si="25"/>
        <v>2</v>
      </c>
      <c r="S89" s="80">
        <f t="shared" si="25"/>
        <v>2</v>
      </c>
      <c r="T89" s="80">
        <f t="shared" si="25"/>
        <v>2</v>
      </c>
      <c r="U89" s="80">
        <f t="shared" si="25"/>
        <v>2</v>
      </c>
      <c r="V89" s="80">
        <f t="shared" si="25"/>
        <v>2</v>
      </c>
      <c r="W89" s="80">
        <f t="shared" si="25"/>
        <v>2</v>
      </c>
      <c r="X89" s="80">
        <f t="shared" si="25"/>
        <v>2</v>
      </c>
      <c r="Y89" s="80">
        <f t="shared" si="25"/>
        <v>2</v>
      </c>
      <c r="Z89" s="80">
        <f t="shared" si="25"/>
        <v>2</v>
      </c>
      <c r="AA89" s="80">
        <f t="shared" si="25"/>
        <v>2</v>
      </c>
      <c r="AB89" s="80">
        <f t="shared" si="25"/>
        <v>2</v>
      </c>
      <c r="AC89" s="80">
        <f t="shared" si="25"/>
        <v>2</v>
      </c>
      <c r="AD89" s="80">
        <f t="shared" si="25"/>
        <v>2</v>
      </c>
      <c r="AE89" s="80">
        <f t="shared" si="25"/>
        <v>2</v>
      </c>
      <c r="AF89" s="80">
        <f t="shared" si="25"/>
        <v>2</v>
      </c>
      <c r="AG89" s="80">
        <f t="shared" si="25"/>
        <v>2</v>
      </c>
      <c r="AH89" s="80">
        <f t="shared" si="25"/>
        <v>2</v>
      </c>
      <c r="AI89" s="80">
        <f t="shared" si="25"/>
        <v>2</v>
      </c>
      <c r="AJ89" s="80">
        <f t="shared" si="25"/>
        <v>2</v>
      </c>
      <c r="AK89" s="80">
        <f t="shared" si="25"/>
        <v>2</v>
      </c>
    </row>
    <row r="90" ht="13.5" hidden="1" customHeight="1">
      <c r="A90" s="27" t="s">
        <v>109</v>
      </c>
      <c r="B90" s="3"/>
      <c r="C90" s="3"/>
      <c r="D90" s="3"/>
      <c r="E90" s="3"/>
      <c r="F90" s="3"/>
      <c r="G90" s="3"/>
      <c r="H90" s="3"/>
      <c r="I90" s="80">
        <f t="shared" ref="I90:AK90" si="26">H89</f>
        <v>2</v>
      </c>
      <c r="J90" s="80">
        <f t="shared" si="26"/>
        <v>2</v>
      </c>
      <c r="K90" s="80">
        <f t="shared" si="26"/>
        <v>2</v>
      </c>
      <c r="L90" s="80">
        <f t="shared" si="26"/>
        <v>2</v>
      </c>
      <c r="M90" s="80">
        <f t="shared" si="26"/>
        <v>2</v>
      </c>
      <c r="N90" s="80">
        <f t="shared" si="26"/>
        <v>2</v>
      </c>
      <c r="O90" s="80">
        <f t="shared" si="26"/>
        <v>2</v>
      </c>
      <c r="P90" s="80">
        <f t="shared" si="26"/>
        <v>2</v>
      </c>
      <c r="Q90" s="80">
        <f t="shared" si="26"/>
        <v>2</v>
      </c>
      <c r="R90" s="80">
        <f t="shared" si="26"/>
        <v>2</v>
      </c>
      <c r="S90" s="80">
        <f t="shared" si="26"/>
        <v>2</v>
      </c>
      <c r="T90" s="80">
        <f t="shared" si="26"/>
        <v>2</v>
      </c>
      <c r="U90" s="80">
        <f t="shared" si="26"/>
        <v>2</v>
      </c>
      <c r="V90" s="80">
        <f t="shared" si="26"/>
        <v>2</v>
      </c>
      <c r="W90" s="80">
        <f t="shared" si="26"/>
        <v>2</v>
      </c>
      <c r="X90" s="80">
        <f t="shared" si="26"/>
        <v>2</v>
      </c>
      <c r="Y90" s="80">
        <f t="shared" si="26"/>
        <v>2</v>
      </c>
      <c r="Z90" s="80">
        <f t="shared" si="26"/>
        <v>2</v>
      </c>
      <c r="AA90" s="80">
        <f t="shared" si="26"/>
        <v>2</v>
      </c>
      <c r="AB90" s="80">
        <f t="shared" si="26"/>
        <v>2</v>
      </c>
      <c r="AC90" s="80">
        <f t="shared" si="26"/>
        <v>2</v>
      </c>
      <c r="AD90" s="80">
        <f t="shared" si="26"/>
        <v>2</v>
      </c>
      <c r="AE90" s="80">
        <f t="shared" si="26"/>
        <v>2</v>
      </c>
      <c r="AF90" s="80">
        <f t="shared" si="26"/>
        <v>2</v>
      </c>
      <c r="AG90" s="80">
        <f t="shared" si="26"/>
        <v>2</v>
      </c>
      <c r="AH90" s="80">
        <f t="shared" si="26"/>
        <v>2</v>
      </c>
      <c r="AI90" s="80">
        <f t="shared" si="26"/>
        <v>2</v>
      </c>
      <c r="AJ90" s="80">
        <f t="shared" si="26"/>
        <v>2</v>
      </c>
      <c r="AK90" s="80">
        <f t="shared" si="26"/>
        <v>2</v>
      </c>
    </row>
    <row r="91" ht="13.5" hidden="1" customHeight="1">
      <c r="A91" s="27" t="s">
        <v>109</v>
      </c>
      <c r="B91" s="3"/>
      <c r="C91" s="3"/>
      <c r="D91" s="3"/>
      <c r="E91" s="3"/>
      <c r="F91" s="3"/>
      <c r="G91" s="3"/>
      <c r="H91" s="3"/>
      <c r="I91" s="3"/>
      <c r="J91" s="80">
        <f t="shared" ref="J91:AK91" si="27">I90</f>
        <v>2</v>
      </c>
      <c r="K91" s="80">
        <f t="shared" si="27"/>
        <v>2</v>
      </c>
      <c r="L91" s="80">
        <f t="shared" si="27"/>
        <v>2</v>
      </c>
      <c r="M91" s="80">
        <f t="shared" si="27"/>
        <v>2</v>
      </c>
      <c r="N91" s="80">
        <f t="shared" si="27"/>
        <v>2</v>
      </c>
      <c r="O91" s="80">
        <f t="shared" si="27"/>
        <v>2</v>
      </c>
      <c r="P91" s="80">
        <f t="shared" si="27"/>
        <v>2</v>
      </c>
      <c r="Q91" s="80">
        <f t="shared" si="27"/>
        <v>2</v>
      </c>
      <c r="R91" s="80">
        <f t="shared" si="27"/>
        <v>2</v>
      </c>
      <c r="S91" s="80">
        <f t="shared" si="27"/>
        <v>2</v>
      </c>
      <c r="T91" s="80">
        <f t="shared" si="27"/>
        <v>2</v>
      </c>
      <c r="U91" s="80">
        <f t="shared" si="27"/>
        <v>2</v>
      </c>
      <c r="V91" s="80">
        <f t="shared" si="27"/>
        <v>2</v>
      </c>
      <c r="W91" s="80">
        <f t="shared" si="27"/>
        <v>2</v>
      </c>
      <c r="X91" s="80">
        <f t="shared" si="27"/>
        <v>2</v>
      </c>
      <c r="Y91" s="80">
        <f t="shared" si="27"/>
        <v>2</v>
      </c>
      <c r="Z91" s="80">
        <f t="shared" si="27"/>
        <v>2</v>
      </c>
      <c r="AA91" s="80">
        <f t="shared" si="27"/>
        <v>2</v>
      </c>
      <c r="AB91" s="80">
        <f t="shared" si="27"/>
        <v>2</v>
      </c>
      <c r="AC91" s="80">
        <f t="shared" si="27"/>
        <v>2</v>
      </c>
      <c r="AD91" s="80">
        <f t="shared" si="27"/>
        <v>2</v>
      </c>
      <c r="AE91" s="80">
        <f t="shared" si="27"/>
        <v>2</v>
      </c>
      <c r="AF91" s="80">
        <f t="shared" si="27"/>
        <v>2</v>
      </c>
      <c r="AG91" s="80">
        <f t="shared" si="27"/>
        <v>2</v>
      </c>
      <c r="AH91" s="80">
        <f t="shared" si="27"/>
        <v>2</v>
      </c>
      <c r="AI91" s="80">
        <f t="shared" si="27"/>
        <v>2</v>
      </c>
      <c r="AJ91" s="80">
        <f t="shared" si="27"/>
        <v>2</v>
      </c>
      <c r="AK91" s="80">
        <f t="shared" si="27"/>
        <v>2</v>
      </c>
    </row>
    <row r="92" ht="13.5" hidden="1" customHeight="1">
      <c r="A92" s="70" t="s">
        <v>113</v>
      </c>
      <c r="B92" s="81"/>
      <c r="C92" s="81"/>
      <c r="D92" s="81"/>
      <c r="E92" s="81"/>
      <c r="F92" s="81"/>
      <c r="G92" s="81"/>
      <c r="H92" s="81"/>
      <c r="I92" s="81"/>
      <c r="J92" s="81"/>
      <c r="K92" s="82">
        <f>J91</f>
        <v>2</v>
      </c>
      <c r="L92" s="82">
        <f t="shared" ref="L92:AK92" si="28">K92+K91</f>
        <v>4</v>
      </c>
      <c r="M92" s="82">
        <f t="shared" si="28"/>
        <v>6</v>
      </c>
      <c r="N92" s="82">
        <f t="shared" si="28"/>
        <v>8</v>
      </c>
      <c r="O92" s="82">
        <f t="shared" si="28"/>
        <v>10</v>
      </c>
      <c r="P92" s="82">
        <f t="shared" si="28"/>
        <v>12</v>
      </c>
      <c r="Q92" s="82">
        <f t="shared" si="28"/>
        <v>14</v>
      </c>
      <c r="R92" s="82">
        <f t="shared" si="28"/>
        <v>16</v>
      </c>
      <c r="S92" s="82">
        <f t="shared" si="28"/>
        <v>18</v>
      </c>
      <c r="T92" s="82">
        <f t="shared" si="28"/>
        <v>20</v>
      </c>
      <c r="U92" s="82">
        <f t="shared" si="28"/>
        <v>22</v>
      </c>
      <c r="V92" s="82">
        <f t="shared" si="28"/>
        <v>24</v>
      </c>
      <c r="W92" s="82">
        <f t="shared" si="28"/>
        <v>26</v>
      </c>
      <c r="X92" s="82">
        <f t="shared" si="28"/>
        <v>28</v>
      </c>
      <c r="Y92" s="82">
        <f t="shared" si="28"/>
        <v>30</v>
      </c>
      <c r="Z92" s="82">
        <f t="shared" si="28"/>
        <v>32</v>
      </c>
      <c r="AA92" s="82">
        <f t="shared" si="28"/>
        <v>34</v>
      </c>
      <c r="AB92" s="82">
        <f t="shared" si="28"/>
        <v>36</v>
      </c>
      <c r="AC92" s="82">
        <f t="shared" si="28"/>
        <v>38</v>
      </c>
      <c r="AD92" s="82">
        <f t="shared" si="28"/>
        <v>40</v>
      </c>
      <c r="AE92" s="82">
        <f t="shared" si="28"/>
        <v>42</v>
      </c>
      <c r="AF92" s="82">
        <f t="shared" si="28"/>
        <v>44</v>
      </c>
      <c r="AG92" s="82">
        <f t="shared" si="28"/>
        <v>46</v>
      </c>
      <c r="AH92" s="82">
        <f t="shared" si="28"/>
        <v>48</v>
      </c>
      <c r="AI92" s="82">
        <f t="shared" si="28"/>
        <v>50</v>
      </c>
      <c r="AJ92" s="82">
        <f t="shared" si="28"/>
        <v>52</v>
      </c>
      <c r="AK92" s="82">
        <f t="shared" si="28"/>
        <v>54</v>
      </c>
    </row>
    <row r="93" ht="15.0" customHeight="1">
      <c r="A93" s="72" t="s">
        <v>114</v>
      </c>
      <c r="B93" s="83">
        <f t="shared" ref="B93:AK93" si="29">SUM(B83:B92)</f>
        <v>2</v>
      </c>
      <c r="C93" s="83">
        <f t="shared" si="29"/>
        <v>4</v>
      </c>
      <c r="D93" s="83">
        <f t="shared" si="29"/>
        <v>6</v>
      </c>
      <c r="E93" s="83">
        <f t="shared" si="29"/>
        <v>8</v>
      </c>
      <c r="F93" s="83">
        <f t="shared" si="29"/>
        <v>10</v>
      </c>
      <c r="G93" s="83">
        <f t="shared" si="29"/>
        <v>12</v>
      </c>
      <c r="H93" s="83">
        <f t="shared" si="29"/>
        <v>14</v>
      </c>
      <c r="I93" s="83">
        <f t="shared" si="29"/>
        <v>16</v>
      </c>
      <c r="J93" s="83">
        <f t="shared" si="29"/>
        <v>18</v>
      </c>
      <c r="K93" s="83">
        <f t="shared" si="29"/>
        <v>20</v>
      </c>
      <c r="L93" s="83">
        <f t="shared" si="29"/>
        <v>22</v>
      </c>
      <c r="M93" s="83">
        <f t="shared" si="29"/>
        <v>24</v>
      </c>
      <c r="N93" s="83">
        <f t="shared" si="29"/>
        <v>26</v>
      </c>
      <c r="O93" s="83">
        <f t="shared" si="29"/>
        <v>28</v>
      </c>
      <c r="P93" s="83">
        <f t="shared" si="29"/>
        <v>30</v>
      </c>
      <c r="Q93" s="83">
        <f t="shared" si="29"/>
        <v>32</v>
      </c>
      <c r="R93" s="83">
        <f t="shared" si="29"/>
        <v>34</v>
      </c>
      <c r="S93" s="83">
        <f t="shared" si="29"/>
        <v>36</v>
      </c>
      <c r="T93" s="83">
        <f t="shared" si="29"/>
        <v>38</v>
      </c>
      <c r="U93" s="83">
        <f t="shared" si="29"/>
        <v>40</v>
      </c>
      <c r="V93" s="83">
        <f t="shared" si="29"/>
        <v>42</v>
      </c>
      <c r="W93" s="83">
        <f t="shared" si="29"/>
        <v>44</v>
      </c>
      <c r="X93" s="83">
        <f t="shared" si="29"/>
        <v>46</v>
      </c>
      <c r="Y93" s="83">
        <f t="shared" si="29"/>
        <v>48</v>
      </c>
      <c r="Z93" s="83">
        <f t="shared" si="29"/>
        <v>50</v>
      </c>
      <c r="AA93" s="83">
        <f t="shared" si="29"/>
        <v>52</v>
      </c>
      <c r="AB93" s="83">
        <f t="shared" si="29"/>
        <v>54</v>
      </c>
      <c r="AC93" s="83">
        <f t="shared" si="29"/>
        <v>56</v>
      </c>
      <c r="AD93" s="83">
        <f t="shared" si="29"/>
        <v>58</v>
      </c>
      <c r="AE93" s="83">
        <f t="shared" si="29"/>
        <v>60</v>
      </c>
      <c r="AF93" s="83">
        <f t="shared" si="29"/>
        <v>62</v>
      </c>
      <c r="AG93" s="83">
        <f t="shared" si="29"/>
        <v>64</v>
      </c>
      <c r="AH93" s="83">
        <f t="shared" si="29"/>
        <v>66</v>
      </c>
      <c r="AI93" s="83">
        <f t="shared" si="29"/>
        <v>68</v>
      </c>
      <c r="AJ93" s="83">
        <f t="shared" si="29"/>
        <v>70</v>
      </c>
      <c r="AK93" s="83">
        <f t="shared" si="29"/>
        <v>72</v>
      </c>
    </row>
    <row r="94" ht="15.0" customHeight="1">
      <c r="A94" s="74" t="s">
        <v>115</v>
      </c>
      <c r="B94" s="84">
        <f t="shared" ref="B94:AK94" si="30">B98*(1+$B$11)/$B$23*$B$25</f>
        <v>13.57638889</v>
      </c>
      <c r="C94" s="84">
        <f t="shared" si="30"/>
        <v>58.37847222</v>
      </c>
      <c r="D94" s="84">
        <f t="shared" si="30"/>
        <v>147.9826389</v>
      </c>
      <c r="E94" s="84">
        <f t="shared" si="30"/>
        <v>283.7465278</v>
      </c>
      <c r="F94" s="84">
        <f t="shared" si="30"/>
        <v>419.5104167</v>
      </c>
      <c r="G94" s="84">
        <f t="shared" si="30"/>
        <v>555.2743056</v>
      </c>
      <c r="H94" s="84">
        <f t="shared" si="30"/>
        <v>691.0381944</v>
      </c>
      <c r="I94" s="84">
        <f t="shared" si="30"/>
        <v>826.8020833</v>
      </c>
      <c r="J94" s="84">
        <f t="shared" si="30"/>
        <v>962.5659722</v>
      </c>
      <c r="K94" s="84">
        <f t="shared" si="30"/>
        <v>1098.329861</v>
      </c>
      <c r="L94" s="84">
        <f t="shared" si="30"/>
        <v>1234.09375</v>
      </c>
      <c r="M94" s="84">
        <f t="shared" si="30"/>
        <v>1369.857639</v>
      </c>
      <c r="N94" s="84">
        <f t="shared" si="30"/>
        <v>1505.621528</v>
      </c>
      <c r="O94" s="84">
        <f t="shared" si="30"/>
        <v>1641.385417</v>
      </c>
      <c r="P94" s="84">
        <f t="shared" si="30"/>
        <v>1777.149306</v>
      </c>
      <c r="Q94" s="84">
        <f t="shared" si="30"/>
        <v>1912.913194</v>
      </c>
      <c r="R94" s="84">
        <f t="shared" si="30"/>
        <v>2048.677083</v>
      </c>
      <c r="S94" s="84">
        <f t="shared" si="30"/>
        <v>2184.440972</v>
      </c>
      <c r="T94" s="84">
        <f t="shared" si="30"/>
        <v>2320.204861</v>
      </c>
      <c r="U94" s="84">
        <f t="shared" si="30"/>
        <v>2455.96875</v>
      </c>
      <c r="V94" s="84">
        <f t="shared" si="30"/>
        <v>2591.732639</v>
      </c>
      <c r="W94" s="84">
        <f t="shared" si="30"/>
        <v>2727.496528</v>
      </c>
      <c r="X94" s="84">
        <f t="shared" si="30"/>
        <v>2863.260417</v>
      </c>
      <c r="Y94" s="84">
        <f t="shared" si="30"/>
        <v>2999.024306</v>
      </c>
      <c r="Z94" s="84">
        <f t="shared" si="30"/>
        <v>3134.788194</v>
      </c>
      <c r="AA94" s="84">
        <f t="shared" si="30"/>
        <v>3270.552083</v>
      </c>
      <c r="AB94" s="84">
        <f t="shared" si="30"/>
        <v>3406.315972</v>
      </c>
      <c r="AC94" s="84">
        <f t="shared" si="30"/>
        <v>3542.079861</v>
      </c>
      <c r="AD94" s="84">
        <f t="shared" si="30"/>
        <v>3677.84375</v>
      </c>
      <c r="AE94" s="84">
        <f t="shared" si="30"/>
        <v>3813.607639</v>
      </c>
      <c r="AF94" s="84">
        <f t="shared" si="30"/>
        <v>3949.371528</v>
      </c>
      <c r="AG94" s="84">
        <f t="shared" si="30"/>
        <v>4085.135417</v>
      </c>
      <c r="AH94" s="84">
        <f t="shared" si="30"/>
        <v>4220.899306</v>
      </c>
      <c r="AI94" s="84">
        <f t="shared" si="30"/>
        <v>4356.663194</v>
      </c>
      <c r="AJ94" s="84">
        <f t="shared" si="30"/>
        <v>4492.427083</v>
      </c>
      <c r="AK94" s="84">
        <f t="shared" si="30"/>
        <v>4628.190972</v>
      </c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16.5" customHeight="1">
      <c r="A97" s="64" t="s">
        <v>49</v>
      </c>
      <c r="B97" s="65" t="s">
        <v>50</v>
      </c>
      <c r="C97" s="65" t="s">
        <v>51</v>
      </c>
      <c r="D97" s="65" t="s">
        <v>52</v>
      </c>
      <c r="E97" s="65" t="s">
        <v>53</v>
      </c>
      <c r="F97" s="65" t="s">
        <v>54</v>
      </c>
      <c r="G97" s="65" t="s">
        <v>55</v>
      </c>
      <c r="H97" s="65" t="s">
        <v>56</v>
      </c>
      <c r="I97" s="65" t="s">
        <v>57</v>
      </c>
      <c r="J97" s="65" t="s">
        <v>58</v>
      </c>
      <c r="K97" s="65" t="s">
        <v>59</v>
      </c>
      <c r="L97" s="65" t="s">
        <v>60</v>
      </c>
      <c r="M97" s="65" t="s">
        <v>61</v>
      </c>
      <c r="N97" s="65" t="s">
        <v>62</v>
      </c>
      <c r="O97" s="65" t="s">
        <v>63</v>
      </c>
      <c r="P97" s="65" t="s">
        <v>64</v>
      </c>
      <c r="Q97" s="65" t="s">
        <v>65</v>
      </c>
      <c r="R97" s="65" t="s">
        <v>66</v>
      </c>
      <c r="S97" s="65" t="s">
        <v>67</v>
      </c>
      <c r="T97" s="65" t="s">
        <v>68</v>
      </c>
      <c r="U97" s="65" t="s">
        <v>69</v>
      </c>
      <c r="V97" s="65" t="s">
        <v>70</v>
      </c>
      <c r="W97" s="65" t="s">
        <v>71</v>
      </c>
      <c r="X97" s="65" t="s">
        <v>72</v>
      </c>
      <c r="Y97" s="65" t="s">
        <v>73</v>
      </c>
      <c r="Z97" s="65" t="s">
        <v>74</v>
      </c>
      <c r="AA97" s="65" t="s">
        <v>75</v>
      </c>
      <c r="AB97" s="65" t="s">
        <v>76</v>
      </c>
      <c r="AC97" s="65" t="s">
        <v>77</v>
      </c>
      <c r="AD97" s="65" t="s">
        <v>78</v>
      </c>
      <c r="AE97" s="65" t="s">
        <v>79</v>
      </c>
      <c r="AF97" s="65" t="s">
        <v>80</v>
      </c>
      <c r="AG97" s="65" t="s">
        <v>81</v>
      </c>
      <c r="AH97" s="65" t="s">
        <v>82</v>
      </c>
      <c r="AI97" s="65" t="s">
        <v>83</v>
      </c>
      <c r="AJ97" s="65" t="s">
        <v>84</v>
      </c>
      <c r="AK97" s="65" t="s">
        <v>85</v>
      </c>
    </row>
    <row r="98" ht="15.0" customHeight="1">
      <c r="A98" s="66" t="s">
        <v>86</v>
      </c>
      <c r="B98" s="29">
        <f t="shared" ref="B98:AK98" si="31">B$83*$B39+B$84*$C39+B$85*$D39+B$86*$E39+B$87*$F39+B$88*$G39+B$89*$H39+B$90*$I39+B$91*$J39+B$92*$K39</f>
        <v>7083.333333</v>
      </c>
      <c r="C98" s="29">
        <f t="shared" si="31"/>
        <v>30458.33333</v>
      </c>
      <c r="D98" s="29">
        <f t="shared" si="31"/>
        <v>77208.33333</v>
      </c>
      <c r="E98" s="29">
        <f t="shared" si="31"/>
        <v>148041.6667</v>
      </c>
      <c r="F98" s="29">
        <f t="shared" si="31"/>
        <v>218875</v>
      </c>
      <c r="G98" s="29">
        <f t="shared" si="31"/>
        <v>289708.3333</v>
      </c>
      <c r="H98" s="29">
        <f t="shared" si="31"/>
        <v>360541.6667</v>
      </c>
      <c r="I98" s="29">
        <f t="shared" si="31"/>
        <v>431375</v>
      </c>
      <c r="J98" s="29">
        <f t="shared" si="31"/>
        <v>502208.3333</v>
      </c>
      <c r="K98" s="29">
        <f t="shared" si="31"/>
        <v>573041.6667</v>
      </c>
      <c r="L98" s="29">
        <f t="shared" si="31"/>
        <v>643875</v>
      </c>
      <c r="M98" s="29">
        <f t="shared" si="31"/>
        <v>714708.3333</v>
      </c>
      <c r="N98" s="29">
        <f t="shared" si="31"/>
        <v>785541.6667</v>
      </c>
      <c r="O98" s="29">
        <f t="shared" si="31"/>
        <v>856375</v>
      </c>
      <c r="P98" s="29">
        <f t="shared" si="31"/>
        <v>927208.3333</v>
      </c>
      <c r="Q98" s="29">
        <f t="shared" si="31"/>
        <v>998041.6667</v>
      </c>
      <c r="R98" s="29">
        <f t="shared" si="31"/>
        <v>1068875</v>
      </c>
      <c r="S98" s="29">
        <f t="shared" si="31"/>
        <v>1139708.333</v>
      </c>
      <c r="T98" s="29">
        <f t="shared" si="31"/>
        <v>1210541.667</v>
      </c>
      <c r="U98" s="29">
        <f t="shared" si="31"/>
        <v>1281375</v>
      </c>
      <c r="V98" s="29">
        <f t="shared" si="31"/>
        <v>1352208.333</v>
      </c>
      <c r="W98" s="29">
        <f t="shared" si="31"/>
        <v>1423041.667</v>
      </c>
      <c r="X98" s="29">
        <f t="shared" si="31"/>
        <v>1493875</v>
      </c>
      <c r="Y98" s="29">
        <f t="shared" si="31"/>
        <v>1564708.333</v>
      </c>
      <c r="Z98" s="29">
        <f t="shared" si="31"/>
        <v>1635541.667</v>
      </c>
      <c r="AA98" s="29">
        <f t="shared" si="31"/>
        <v>1706375</v>
      </c>
      <c r="AB98" s="29">
        <f t="shared" si="31"/>
        <v>1777208.333</v>
      </c>
      <c r="AC98" s="29">
        <f t="shared" si="31"/>
        <v>1848041.667</v>
      </c>
      <c r="AD98" s="29">
        <f t="shared" si="31"/>
        <v>1918875</v>
      </c>
      <c r="AE98" s="29">
        <f t="shared" si="31"/>
        <v>1989708.333</v>
      </c>
      <c r="AF98" s="29">
        <f t="shared" si="31"/>
        <v>2060541.667</v>
      </c>
      <c r="AG98" s="29">
        <f t="shared" si="31"/>
        <v>2131375</v>
      </c>
      <c r="AH98" s="29">
        <f t="shared" si="31"/>
        <v>2202208.333</v>
      </c>
      <c r="AI98" s="29">
        <f t="shared" si="31"/>
        <v>2273041.667</v>
      </c>
      <c r="AJ98" s="29">
        <f t="shared" si="31"/>
        <v>2343875</v>
      </c>
      <c r="AK98" s="29">
        <f t="shared" si="31"/>
        <v>2414708.333</v>
      </c>
    </row>
    <row r="99" ht="13.5" customHeight="1">
      <c r="A99" s="70" t="s">
        <v>90</v>
      </c>
      <c r="B99" s="71">
        <f>B98/12</f>
        <v>590.2777778</v>
      </c>
      <c r="C99" s="71">
        <f t="shared" ref="C99:AK99" si="32">C98/12+B99*(1-$B$19)</f>
        <v>3113.715278</v>
      </c>
      <c r="D99" s="71">
        <f t="shared" si="32"/>
        <v>9469.900174</v>
      </c>
      <c r="E99" s="71">
        <f t="shared" si="32"/>
        <v>21569.95822</v>
      </c>
      <c r="F99" s="71">
        <f t="shared" si="32"/>
        <v>39270.2926</v>
      </c>
      <c r="G99" s="71">
        <f t="shared" si="32"/>
        <v>62430.8964</v>
      </c>
      <c r="H99" s="71">
        <f t="shared" si="32"/>
        <v>90915.26288</v>
      </c>
      <c r="I99" s="71">
        <f t="shared" si="32"/>
        <v>124590.298</v>
      </c>
      <c r="J99" s="71">
        <f t="shared" si="32"/>
        <v>163326.235</v>
      </c>
      <c r="K99" s="71">
        <f t="shared" si="32"/>
        <v>206996.5513</v>
      </c>
      <c r="L99" s="71">
        <f t="shared" si="32"/>
        <v>255477.8875</v>
      </c>
      <c r="M99" s="71">
        <f t="shared" si="32"/>
        <v>308649.9681</v>
      </c>
      <c r="N99" s="71">
        <f t="shared" si="32"/>
        <v>366395.5245</v>
      </c>
      <c r="O99" s="71">
        <f t="shared" si="32"/>
        <v>428600.2197</v>
      </c>
      <c r="P99" s="71">
        <f t="shared" si="32"/>
        <v>495152.5753</v>
      </c>
      <c r="Q99" s="71">
        <f t="shared" si="32"/>
        <v>565943.8998</v>
      </c>
      <c r="R99" s="71">
        <f t="shared" si="32"/>
        <v>640868.219</v>
      </c>
      <c r="S99" s="71">
        <f t="shared" si="32"/>
        <v>719822.208</v>
      </c>
      <c r="T99" s="71">
        <f t="shared" si="32"/>
        <v>802705.125</v>
      </c>
      <c r="U99" s="71">
        <f t="shared" si="32"/>
        <v>889418.7469</v>
      </c>
      <c r="V99" s="71">
        <f t="shared" si="32"/>
        <v>979867.306</v>
      </c>
      <c r="W99" s="71">
        <f t="shared" si="32"/>
        <v>1073957.429</v>
      </c>
      <c r="X99" s="71">
        <f t="shared" si="32"/>
        <v>1171598.076</v>
      </c>
      <c r="Y99" s="71">
        <f t="shared" si="32"/>
        <v>1272700.486</v>
      </c>
      <c r="Z99" s="71">
        <f t="shared" si="32"/>
        <v>1377178.112</v>
      </c>
      <c r="AA99" s="71">
        <f t="shared" si="32"/>
        <v>1484946.576</v>
      </c>
      <c r="AB99" s="71">
        <f t="shared" si="32"/>
        <v>1595923.606</v>
      </c>
      <c r="AC99" s="71">
        <f t="shared" si="32"/>
        <v>1710028.988</v>
      </c>
      <c r="AD99" s="71">
        <f t="shared" si="32"/>
        <v>1827184.514</v>
      </c>
      <c r="AE99" s="71">
        <f t="shared" si="32"/>
        <v>1947313.929</v>
      </c>
      <c r="AF99" s="71">
        <f t="shared" si="32"/>
        <v>2070342.886</v>
      </c>
      <c r="AG99" s="71">
        <f t="shared" si="32"/>
        <v>2196198.897</v>
      </c>
      <c r="AH99" s="71">
        <f t="shared" si="32"/>
        <v>2324811.286</v>
      </c>
      <c r="AI99" s="71">
        <f t="shared" si="32"/>
        <v>2456111.143</v>
      </c>
      <c r="AJ99" s="71">
        <f t="shared" si="32"/>
        <v>2590031.281</v>
      </c>
      <c r="AK99" s="71">
        <f t="shared" si="32"/>
        <v>2726506.193</v>
      </c>
    </row>
    <row r="100" ht="15.0" customHeight="1">
      <c r="A100" s="72" t="s">
        <v>91</v>
      </c>
      <c r="B100" s="73">
        <f>B99</f>
        <v>590.2777778</v>
      </c>
      <c r="C100" s="73">
        <f t="shared" ref="C100:AK100" si="33">B100+C99</f>
        <v>3703.993056</v>
      </c>
      <c r="D100" s="73">
        <f t="shared" si="33"/>
        <v>13173.89323</v>
      </c>
      <c r="E100" s="73">
        <f t="shared" si="33"/>
        <v>34743.85145</v>
      </c>
      <c r="F100" s="73">
        <f t="shared" si="33"/>
        <v>74014.14406</v>
      </c>
      <c r="G100" s="73">
        <f t="shared" si="33"/>
        <v>136445.0405</v>
      </c>
      <c r="H100" s="73">
        <f t="shared" si="33"/>
        <v>227360.3033</v>
      </c>
      <c r="I100" s="73">
        <f t="shared" si="33"/>
        <v>351950.6013</v>
      </c>
      <c r="J100" s="73">
        <f t="shared" si="33"/>
        <v>515276.8363</v>
      </c>
      <c r="K100" s="73">
        <f t="shared" si="33"/>
        <v>722273.3876</v>
      </c>
      <c r="L100" s="73">
        <f t="shared" si="33"/>
        <v>977751.2751</v>
      </c>
      <c r="M100" s="73">
        <f t="shared" si="33"/>
        <v>1286401.243</v>
      </c>
      <c r="N100" s="73">
        <f t="shared" si="33"/>
        <v>1652796.768</v>
      </c>
      <c r="O100" s="73">
        <f t="shared" si="33"/>
        <v>2081396.987</v>
      </c>
      <c r="P100" s="73">
        <f t="shared" si="33"/>
        <v>2576549.563</v>
      </c>
      <c r="Q100" s="73">
        <f t="shared" si="33"/>
        <v>3142493.463</v>
      </c>
      <c r="R100" s="73">
        <f t="shared" si="33"/>
        <v>3783361.682</v>
      </c>
      <c r="S100" s="73">
        <f t="shared" si="33"/>
        <v>4503183.89</v>
      </c>
      <c r="T100" s="73">
        <f t="shared" si="33"/>
        <v>5305889.014</v>
      </c>
      <c r="U100" s="73">
        <f t="shared" si="33"/>
        <v>6195307.761</v>
      </c>
      <c r="V100" s="73">
        <f t="shared" si="33"/>
        <v>7175175.067</v>
      </c>
      <c r="W100" s="73">
        <f t="shared" si="33"/>
        <v>8249132.496</v>
      </c>
      <c r="X100" s="73">
        <f t="shared" si="33"/>
        <v>9420730.573</v>
      </c>
      <c r="Y100" s="73">
        <f t="shared" si="33"/>
        <v>10693431.06</v>
      </c>
      <c r="Z100" s="73">
        <f t="shared" si="33"/>
        <v>12070609.17</v>
      </c>
      <c r="AA100" s="73">
        <f t="shared" si="33"/>
        <v>13555555.75</v>
      </c>
      <c r="AB100" s="73">
        <f t="shared" si="33"/>
        <v>15151479.35</v>
      </c>
      <c r="AC100" s="73">
        <f t="shared" si="33"/>
        <v>16861508.34</v>
      </c>
      <c r="AD100" s="73">
        <f t="shared" si="33"/>
        <v>18688692.86</v>
      </c>
      <c r="AE100" s="73">
        <f t="shared" si="33"/>
        <v>20636006.78</v>
      </c>
      <c r="AF100" s="73">
        <f t="shared" si="33"/>
        <v>22706349.67</v>
      </c>
      <c r="AG100" s="73">
        <f t="shared" si="33"/>
        <v>24902548.57</v>
      </c>
      <c r="AH100" s="73">
        <f t="shared" si="33"/>
        <v>27227359.85</v>
      </c>
      <c r="AI100" s="73">
        <f t="shared" si="33"/>
        <v>29683471</v>
      </c>
      <c r="AJ100" s="73">
        <f t="shared" si="33"/>
        <v>32273502.28</v>
      </c>
      <c r="AK100" s="73">
        <f t="shared" si="33"/>
        <v>35000008.47</v>
      </c>
    </row>
    <row r="101" ht="15.0" customHeight="1">
      <c r="A101" s="74" t="s">
        <v>92</v>
      </c>
      <c r="B101" s="75">
        <f t="shared" ref="B101:AK101" si="34">$B$20*B100</f>
        <v>472.2222222</v>
      </c>
      <c r="C101" s="75">
        <f t="shared" si="34"/>
        <v>2963.194444</v>
      </c>
      <c r="D101" s="75">
        <f t="shared" si="34"/>
        <v>10539.11458</v>
      </c>
      <c r="E101" s="75">
        <f t="shared" si="34"/>
        <v>27795.08116</v>
      </c>
      <c r="F101" s="75">
        <f t="shared" si="34"/>
        <v>59211.31525</v>
      </c>
      <c r="G101" s="75">
        <f t="shared" si="34"/>
        <v>109156.0324</v>
      </c>
      <c r="H101" s="75">
        <f t="shared" si="34"/>
        <v>181888.2427</v>
      </c>
      <c r="I101" s="75">
        <f t="shared" si="34"/>
        <v>281560.481</v>
      </c>
      <c r="J101" s="75">
        <f t="shared" si="34"/>
        <v>412221.469</v>
      </c>
      <c r="K101" s="75">
        <f t="shared" si="34"/>
        <v>577818.7101</v>
      </c>
      <c r="L101" s="75">
        <f t="shared" si="34"/>
        <v>782201.0201</v>
      </c>
      <c r="M101" s="75">
        <f t="shared" si="34"/>
        <v>1029120.995</v>
      </c>
      <c r="N101" s="75">
        <f t="shared" si="34"/>
        <v>1322237.414</v>
      </c>
      <c r="O101" s="75">
        <f t="shared" si="34"/>
        <v>1665117.59</v>
      </c>
      <c r="P101" s="75">
        <f t="shared" si="34"/>
        <v>2061239.65</v>
      </c>
      <c r="Q101" s="75">
        <f t="shared" si="34"/>
        <v>2513994.77</v>
      </c>
      <c r="R101" s="75">
        <f t="shared" si="34"/>
        <v>3026689.345</v>
      </c>
      <c r="S101" s="75">
        <f t="shared" si="34"/>
        <v>3602547.112</v>
      </c>
      <c r="T101" s="75">
        <f t="shared" si="34"/>
        <v>4244711.212</v>
      </c>
      <c r="U101" s="75">
        <f t="shared" si="34"/>
        <v>4956246.209</v>
      </c>
      <c r="V101" s="75">
        <f t="shared" si="34"/>
        <v>5740140.054</v>
      </c>
      <c r="W101" s="75">
        <f t="shared" si="34"/>
        <v>6599305.997</v>
      </c>
      <c r="X101" s="75">
        <f t="shared" si="34"/>
        <v>7536584.458</v>
      </c>
      <c r="Y101" s="75">
        <f t="shared" si="34"/>
        <v>8554744.847</v>
      </c>
      <c r="Z101" s="75">
        <f t="shared" si="34"/>
        <v>9656487.337</v>
      </c>
      <c r="AA101" s="75">
        <f t="shared" si="34"/>
        <v>10844444.6</v>
      </c>
      <c r="AB101" s="75">
        <f t="shared" si="34"/>
        <v>12121183.48</v>
      </c>
      <c r="AC101" s="75">
        <f t="shared" si="34"/>
        <v>13489206.67</v>
      </c>
      <c r="AD101" s="75">
        <f t="shared" si="34"/>
        <v>14950954.28</v>
      </c>
      <c r="AE101" s="75">
        <f t="shared" si="34"/>
        <v>16508805.43</v>
      </c>
      <c r="AF101" s="75">
        <f t="shared" si="34"/>
        <v>18165079.74</v>
      </c>
      <c r="AG101" s="75">
        <f t="shared" si="34"/>
        <v>19922038.85</v>
      </c>
      <c r="AH101" s="75">
        <f t="shared" si="34"/>
        <v>21781887.88</v>
      </c>
      <c r="AI101" s="75">
        <f t="shared" si="34"/>
        <v>23746776.8</v>
      </c>
      <c r="AJ101" s="75">
        <f t="shared" si="34"/>
        <v>25818801.82</v>
      </c>
      <c r="AK101" s="75">
        <f t="shared" si="34"/>
        <v>28000006.78</v>
      </c>
    </row>
    <row r="102" ht="13.5" customHeight="1">
      <c r="A102" s="27" t="s">
        <v>116</v>
      </c>
      <c r="B102" s="29">
        <f>B99</f>
        <v>590.2777778</v>
      </c>
      <c r="C102" s="29">
        <f t="shared" ref="C102:AK102" si="35">C99-B99</f>
        <v>2523.4375</v>
      </c>
      <c r="D102" s="29">
        <f t="shared" si="35"/>
        <v>6356.184896</v>
      </c>
      <c r="E102" s="29">
        <f t="shared" si="35"/>
        <v>12100.05805</v>
      </c>
      <c r="F102" s="29">
        <f t="shared" si="35"/>
        <v>17700.33438</v>
      </c>
      <c r="G102" s="29">
        <f t="shared" si="35"/>
        <v>23160.6038</v>
      </c>
      <c r="H102" s="29">
        <f t="shared" si="35"/>
        <v>28484.36648</v>
      </c>
      <c r="I102" s="29">
        <f t="shared" si="35"/>
        <v>33675.03509</v>
      </c>
      <c r="J102" s="29">
        <f t="shared" si="35"/>
        <v>38735.937</v>
      </c>
      <c r="K102" s="29">
        <f t="shared" si="35"/>
        <v>43670.31635</v>
      </c>
      <c r="L102" s="29">
        <f t="shared" si="35"/>
        <v>48481.33622</v>
      </c>
      <c r="M102" s="29">
        <f t="shared" si="35"/>
        <v>53172.08059</v>
      </c>
      <c r="N102" s="29">
        <f t="shared" si="35"/>
        <v>57745.55635</v>
      </c>
      <c r="O102" s="29">
        <f t="shared" si="35"/>
        <v>62204.69522</v>
      </c>
      <c r="P102" s="29">
        <f t="shared" si="35"/>
        <v>66552.35562</v>
      </c>
      <c r="Q102" s="29">
        <f t="shared" si="35"/>
        <v>70791.32451</v>
      </c>
      <c r="R102" s="29">
        <f t="shared" si="35"/>
        <v>74924.31917</v>
      </c>
      <c r="S102" s="29">
        <f t="shared" si="35"/>
        <v>78953.98897</v>
      </c>
      <c r="T102" s="29">
        <f t="shared" si="35"/>
        <v>82882.91702</v>
      </c>
      <c r="U102" s="29">
        <f t="shared" si="35"/>
        <v>86713.62188</v>
      </c>
      <c r="V102" s="29">
        <f t="shared" si="35"/>
        <v>90448.55911</v>
      </c>
      <c r="W102" s="29">
        <f t="shared" si="35"/>
        <v>94090.12291</v>
      </c>
      <c r="X102" s="29">
        <f t="shared" si="35"/>
        <v>97640.64761</v>
      </c>
      <c r="Y102" s="29">
        <f t="shared" si="35"/>
        <v>101102.4092</v>
      </c>
      <c r="Z102" s="29">
        <f t="shared" si="35"/>
        <v>104477.6267</v>
      </c>
      <c r="AA102" s="29">
        <f t="shared" si="35"/>
        <v>107768.4639</v>
      </c>
      <c r="AB102" s="29">
        <f t="shared" si="35"/>
        <v>110977.03</v>
      </c>
      <c r="AC102" s="29">
        <f t="shared" si="35"/>
        <v>114105.3821</v>
      </c>
      <c r="AD102" s="29">
        <f t="shared" si="35"/>
        <v>117155.5253</v>
      </c>
      <c r="AE102" s="29">
        <f t="shared" si="35"/>
        <v>120129.4149</v>
      </c>
      <c r="AF102" s="29">
        <f t="shared" si="35"/>
        <v>123028.9573</v>
      </c>
      <c r="AG102" s="29">
        <f t="shared" si="35"/>
        <v>125856.0112</v>
      </c>
      <c r="AH102" s="29">
        <f t="shared" si="35"/>
        <v>128612.3887</v>
      </c>
      <c r="AI102" s="29">
        <f t="shared" si="35"/>
        <v>131299.8567</v>
      </c>
      <c r="AJ102" s="29">
        <f t="shared" si="35"/>
        <v>133920.1381</v>
      </c>
      <c r="AK102" s="29">
        <f t="shared" si="35"/>
        <v>136474.9124</v>
      </c>
    </row>
    <row r="103" ht="13.5" customHeight="1">
      <c r="A103" s="3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</row>
    <row r="104" ht="16.5" customHeight="1">
      <c r="A104" s="64" t="s">
        <v>93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ht="15.0" customHeight="1">
      <c r="A105" s="66" t="s">
        <v>94</v>
      </c>
      <c r="B105" s="29">
        <f t="shared" ref="B105:AK105" si="36">B$93*B49</f>
        <v>8333.333333</v>
      </c>
      <c r="C105" s="29">
        <f t="shared" si="36"/>
        <v>16666.66667</v>
      </c>
      <c r="D105" s="29">
        <f t="shared" si="36"/>
        <v>25000</v>
      </c>
      <c r="E105" s="29">
        <f t="shared" si="36"/>
        <v>33333.33333</v>
      </c>
      <c r="F105" s="29">
        <f t="shared" si="36"/>
        <v>41666.66667</v>
      </c>
      <c r="G105" s="29">
        <f t="shared" si="36"/>
        <v>50000</v>
      </c>
      <c r="H105" s="29">
        <f t="shared" si="36"/>
        <v>58333.33333</v>
      </c>
      <c r="I105" s="29">
        <f t="shared" si="36"/>
        <v>66666.66667</v>
      </c>
      <c r="J105" s="29">
        <f t="shared" si="36"/>
        <v>75000</v>
      </c>
      <c r="K105" s="29">
        <f t="shared" si="36"/>
        <v>83333.33333</v>
      </c>
      <c r="L105" s="29">
        <f t="shared" si="36"/>
        <v>91666.66667</v>
      </c>
      <c r="M105" s="29">
        <f t="shared" si="36"/>
        <v>100000</v>
      </c>
      <c r="N105" s="29">
        <f t="shared" si="36"/>
        <v>108333.3333</v>
      </c>
      <c r="O105" s="29">
        <f t="shared" si="36"/>
        <v>116666.6667</v>
      </c>
      <c r="P105" s="29">
        <f t="shared" si="36"/>
        <v>125000</v>
      </c>
      <c r="Q105" s="29">
        <f t="shared" si="36"/>
        <v>133333.3333</v>
      </c>
      <c r="R105" s="29">
        <f t="shared" si="36"/>
        <v>141666.6667</v>
      </c>
      <c r="S105" s="29">
        <f t="shared" si="36"/>
        <v>150000</v>
      </c>
      <c r="T105" s="29">
        <f t="shared" si="36"/>
        <v>158333.3333</v>
      </c>
      <c r="U105" s="29">
        <f t="shared" si="36"/>
        <v>166666.6667</v>
      </c>
      <c r="V105" s="29">
        <f t="shared" si="36"/>
        <v>175000</v>
      </c>
      <c r="W105" s="29">
        <f t="shared" si="36"/>
        <v>183333.3333</v>
      </c>
      <c r="X105" s="29">
        <f t="shared" si="36"/>
        <v>191666.6667</v>
      </c>
      <c r="Y105" s="29">
        <f t="shared" si="36"/>
        <v>200000</v>
      </c>
      <c r="Z105" s="29">
        <f t="shared" si="36"/>
        <v>208333.3333</v>
      </c>
      <c r="AA105" s="29">
        <f t="shared" si="36"/>
        <v>216666.6667</v>
      </c>
      <c r="AB105" s="29">
        <f t="shared" si="36"/>
        <v>225000</v>
      </c>
      <c r="AC105" s="29">
        <f t="shared" si="36"/>
        <v>233333.3333</v>
      </c>
      <c r="AD105" s="29">
        <f t="shared" si="36"/>
        <v>241666.6667</v>
      </c>
      <c r="AE105" s="29">
        <f t="shared" si="36"/>
        <v>250000</v>
      </c>
      <c r="AF105" s="29">
        <f t="shared" si="36"/>
        <v>258333.3333</v>
      </c>
      <c r="AG105" s="29">
        <f t="shared" si="36"/>
        <v>266666.6667</v>
      </c>
      <c r="AH105" s="29">
        <f t="shared" si="36"/>
        <v>275000</v>
      </c>
      <c r="AI105" s="29">
        <f t="shared" si="36"/>
        <v>283333.3333</v>
      </c>
      <c r="AJ105" s="29">
        <f t="shared" si="36"/>
        <v>291666.6667</v>
      </c>
      <c r="AK105" s="29">
        <f t="shared" si="36"/>
        <v>300000</v>
      </c>
    </row>
    <row r="106" ht="13.5" customHeight="1">
      <c r="A106" s="27" t="s">
        <v>6</v>
      </c>
      <c r="B106" s="29">
        <f t="shared" ref="B106:AK106" si="37">B$83*$B50+B$84*$C50+B$85*$D50+B$86*$E50+B$87*$F50+B$88*$G50+B$89*$H50+B$90*$I50+B$91*$J50+B$92*$K50</f>
        <v>9166.666667</v>
      </c>
      <c r="C106" s="29">
        <f t="shared" si="37"/>
        <v>15583.33333</v>
      </c>
      <c r="D106" s="29">
        <f t="shared" si="37"/>
        <v>21633.33333</v>
      </c>
      <c r="E106" s="29">
        <f t="shared" si="37"/>
        <v>30800</v>
      </c>
      <c r="F106" s="29">
        <f t="shared" si="37"/>
        <v>39966.66667</v>
      </c>
      <c r="G106" s="29">
        <f t="shared" si="37"/>
        <v>49133.33333</v>
      </c>
      <c r="H106" s="29">
        <f t="shared" si="37"/>
        <v>58300</v>
      </c>
      <c r="I106" s="29">
        <f t="shared" si="37"/>
        <v>67466.66667</v>
      </c>
      <c r="J106" s="29">
        <f t="shared" si="37"/>
        <v>76633.33333</v>
      </c>
      <c r="K106" s="29">
        <f t="shared" si="37"/>
        <v>85800</v>
      </c>
      <c r="L106" s="29">
        <f t="shared" si="37"/>
        <v>94966.66667</v>
      </c>
      <c r="M106" s="29">
        <f t="shared" si="37"/>
        <v>104133.3333</v>
      </c>
      <c r="N106" s="29">
        <f t="shared" si="37"/>
        <v>113300</v>
      </c>
      <c r="O106" s="29">
        <f t="shared" si="37"/>
        <v>122466.6667</v>
      </c>
      <c r="P106" s="29">
        <f t="shared" si="37"/>
        <v>131633.3333</v>
      </c>
      <c r="Q106" s="29">
        <f t="shared" si="37"/>
        <v>140800</v>
      </c>
      <c r="R106" s="29">
        <f t="shared" si="37"/>
        <v>149966.6667</v>
      </c>
      <c r="S106" s="29">
        <f t="shared" si="37"/>
        <v>159133.3333</v>
      </c>
      <c r="T106" s="29">
        <f t="shared" si="37"/>
        <v>168300</v>
      </c>
      <c r="U106" s="29">
        <f t="shared" si="37"/>
        <v>177466.6667</v>
      </c>
      <c r="V106" s="29">
        <f t="shared" si="37"/>
        <v>186633.3333</v>
      </c>
      <c r="W106" s="29">
        <f t="shared" si="37"/>
        <v>195800</v>
      </c>
      <c r="X106" s="29">
        <f t="shared" si="37"/>
        <v>204966.6667</v>
      </c>
      <c r="Y106" s="29">
        <f t="shared" si="37"/>
        <v>214133.3333</v>
      </c>
      <c r="Z106" s="29">
        <f t="shared" si="37"/>
        <v>223300</v>
      </c>
      <c r="AA106" s="29">
        <f t="shared" si="37"/>
        <v>232466.6667</v>
      </c>
      <c r="AB106" s="29">
        <f t="shared" si="37"/>
        <v>241633.3333</v>
      </c>
      <c r="AC106" s="29">
        <f t="shared" si="37"/>
        <v>250800</v>
      </c>
      <c r="AD106" s="29">
        <f t="shared" si="37"/>
        <v>259966.6667</v>
      </c>
      <c r="AE106" s="29">
        <f t="shared" si="37"/>
        <v>269133.3333</v>
      </c>
      <c r="AF106" s="29">
        <f t="shared" si="37"/>
        <v>278300</v>
      </c>
      <c r="AG106" s="29">
        <f t="shared" si="37"/>
        <v>287466.6667</v>
      </c>
      <c r="AH106" s="29">
        <f t="shared" si="37"/>
        <v>296633.3333</v>
      </c>
      <c r="AI106" s="29">
        <f t="shared" si="37"/>
        <v>305800</v>
      </c>
      <c r="AJ106" s="29">
        <f t="shared" si="37"/>
        <v>314966.6667</v>
      </c>
      <c r="AK106" s="29">
        <f t="shared" si="37"/>
        <v>324133.3333</v>
      </c>
    </row>
    <row r="107" ht="13.5" customHeight="1">
      <c r="A107" s="27" t="s">
        <v>95</v>
      </c>
      <c r="B107" s="29">
        <f t="shared" ref="B107:AK107" si="38">B$93*B51</f>
        <v>5000</v>
      </c>
      <c r="C107" s="29">
        <f t="shared" si="38"/>
        <v>10000</v>
      </c>
      <c r="D107" s="29">
        <f t="shared" si="38"/>
        <v>15000</v>
      </c>
      <c r="E107" s="29">
        <f t="shared" si="38"/>
        <v>20000</v>
      </c>
      <c r="F107" s="29">
        <f t="shared" si="38"/>
        <v>25000</v>
      </c>
      <c r="G107" s="29">
        <f t="shared" si="38"/>
        <v>30000</v>
      </c>
      <c r="H107" s="29">
        <f t="shared" si="38"/>
        <v>35000</v>
      </c>
      <c r="I107" s="29">
        <f t="shared" si="38"/>
        <v>40000</v>
      </c>
      <c r="J107" s="29">
        <f t="shared" si="38"/>
        <v>45000</v>
      </c>
      <c r="K107" s="29">
        <f t="shared" si="38"/>
        <v>50000</v>
      </c>
      <c r="L107" s="29">
        <f t="shared" si="38"/>
        <v>55000</v>
      </c>
      <c r="M107" s="29">
        <f t="shared" si="38"/>
        <v>60000</v>
      </c>
      <c r="N107" s="29">
        <f t="shared" si="38"/>
        <v>65000</v>
      </c>
      <c r="O107" s="29">
        <f t="shared" si="38"/>
        <v>70000</v>
      </c>
      <c r="P107" s="29">
        <f t="shared" si="38"/>
        <v>75000</v>
      </c>
      <c r="Q107" s="29">
        <f t="shared" si="38"/>
        <v>80000</v>
      </c>
      <c r="R107" s="29">
        <f t="shared" si="38"/>
        <v>85000</v>
      </c>
      <c r="S107" s="29">
        <f t="shared" si="38"/>
        <v>90000</v>
      </c>
      <c r="T107" s="29">
        <f t="shared" si="38"/>
        <v>95000</v>
      </c>
      <c r="U107" s="29">
        <f t="shared" si="38"/>
        <v>100000</v>
      </c>
      <c r="V107" s="29">
        <f t="shared" si="38"/>
        <v>105000</v>
      </c>
      <c r="W107" s="29">
        <f t="shared" si="38"/>
        <v>110000</v>
      </c>
      <c r="X107" s="29">
        <f t="shared" si="38"/>
        <v>115000</v>
      </c>
      <c r="Y107" s="29">
        <f t="shared" si="38"/>
        <v>120000</v>
      </c>
      <c r="Z107" s="29">
        <f t="shared" si="38"/>
        <v>125000</v>
      </c>
      <c r="AA107" s="29">
        <f t="shared" si="38"/>
        <v>130000</v>
      </c>
      <c r="AB107" s="29">
        <f t="shared" si="38"/>
        <v>135000</v>
      </c>
      <c r="AC107" s="29">
        <f t="shared" si="38"/>
        <v>140000</v>
      </c>
      <c r="AD107" s="29">
        <f t="shared" si="38"/>
        <v>145000</v>
      </c>
      <c r="AE107" s="29">
        <f t="shared" si="38"/>
        <v>150000</v>
      </c>
      <c r="AF107" s="29">
        <f t="shared" si="38"/>
        <v>155000</v>
      </c>
      <c r="AG107" s="29">
        <f t="shared" si="38"/>
        <v>160000</v>
      </c>
      <c r="AH107" s="29">
        <f t="shared" si="38"/>
        <v>165000</v>
      </c>
      <c r="AI107" s="29">
        <f t="shared" si="38"/>
        <v>170000</v>
      </c>
      <c r="AJ107" s="29">
        <f t="shared" si="38"/>
        <v>175000</v>
      </c>
      <c r="AK107" s="29">
        <f t="shared" si="38"/>
        <v>180000</v>
      </c>
    </row>
    <row r="108" ht="13.5" customHeight="1">
      <c r="A108" s="70" t="s">
        <v>96</v>
      </c>
      <c r="B108" s="71">
        <f t="shared" ref="B108:AK108" si="39">B94*$B$26</f>
        <v>1700.442708</v>
      </c>
      <c r="C108" s="71">
        <f t="shared" si="39"/>
        <v>7311.903646</v>
      </c>
      <c r="D108" s="71">
        <f t="shared" si="39"/>
        <v>18534.82552</v>
      </c>
      <c r="E108" s="71">
        <f t="shared" si="39"/>
        <v>35539.2526</v>
      </c>
      <c r="F108" s="71">
        <f t="shared" si="39"/>
        <v>52543.67969</v>
      </c>
      <c r="G108" s="71">
        <f t="shared" si="39"/>
        <v>69548.10677</v>
      </c>
      <c r="H108" s="71">
        <f t="shared" si="39"/>
        <v>86552.53385</v>
      </c>
      <c r="I108" s="71">
        <f t="shared" si="39"/>
        <v>103556.9609</v>
      </c>
      <c r="J108" s="71">
        <f t="shared" si="39"/>
        <v>120561.388</v>
      </c>
      <c r="K108" s="71">
        <f t="shared" si="39"/>
        <v>137565.8151</v>
      </c>
      <c r="L108" s="71">
        <f t="shared" si="39"/>
        <v>154570.2422</v>
      </c>
      <c r="M108" s="71">
        <f t="shared" si="39"/>
        <v>171574.6693</v>
      </c>
      <c r="N108" s="71">
        <f t="shared" si="39"/>
        <v>188579.0964</v>
      </c>
      <c r="O108" s="71">
        <f t="shared" si="39"/>
        <v>205583.5234</v>
      </c>
      <c r="P108" s="71">
        <f t="shared" si="39"/>
        <v>222587.9505</v>
      </c>
      <c r="Q108" s="71">
        <f t="shared" si="39"/>
        <v>239592.3776</v>
      </c>
      <c r="R108" s="71">
        <f t="shared" si="39"/>
        <v>256596.8047</v>
      </c>
      <c r="S108" s="71">
        <f t="shared" si="39"/>
        <v>273601.2318</v>
      </c>
      <c r="T108" s="71">
        <f t="shared" si="39"/>
        <v>290605.6589</v>
      </c>
      <c r="U108" s="71">
        <f t="shared" si="39"/>
        <v>307610.0859</v>
      </c>
      <c r="V108" s="71">
        <f t="shared" si="39"/>
        <v>324614.513</v>
      </c>
      <c r="W108" s="71">
        <f t="shared" si="39"/>
        <v>341618.9401</v>
      </c>
      <c r="X108" s="71">
        <f t="shared" si="39"/>
        <v>358623.3672</v>
      </c>
      <c r="Y108" s="71">
        <f t="shared" si="39"/>
        <v>375627.7943</v>
      </c>
      <c r="Z108" s="71">
        <f t="shared" si="39"/>
        <v>392632.2214</v>
      </c>
      <c r="AA108" s="71">
        <f t="shared" si="39"/>
        <v>409636.6484</v>
      </c>
      <c r="AB108" s="71">
        <f t="shared" si="39"/>
        <v>426641.0755</v>
      </c>
      <c r="AC108" s="71">
        <f t="shared" si="39"/>
        <v>443645.5026</v>
      </c>
      <c r="AD108" s="71">
        <f t="shared" si="39"/>
        <v>460649.9297</v>
      </c>
      <c r="AE108" s="71">
        <f t="shared" si="39"/>
        <v>477654.3568</v>
      </c>
      <c r="AF108" s="71">
        <f t="shared" si="39"/>
        <v>494658.7839</v>
      </c>
      <c r="AG108" s="71">
        <f t="shared" si="39"/>
        <v>511663.2109</v>
      </c>
      <c r="AH108" s="71">
        <f t="shared" si="39"/>
        <v>528667.638</v>
      </c>
      <c r="AI108" s="71">
        <f t="shared" si="39"/>
        <v>545672.0651</v>
      </c>
      <c r="AJ108" s="71">
        <f t="shared" si="39"/>
        <v>562676.4922</v>
      </c>
      <c r="AK108" s="71">
        <f t="shared" si="39"/>
        <v>579680.9193</v>
      </c>
    </row>
    <row r="109" ht="15.0" customHeight="1">
      <c r="A109" s="72" t="s">
        <v>97</v>
      </c>
      <c r="B109" s="73">
        <f t="shared" ref="B109:AK109" si="40">SUM(B105:B108)</f>
        <v>24200.44271</v>
      </c>
      <c r="C109" s="73">
        <f t="shared" si="40"/>
        <v>49561.90365</v>
      </c>
      <c r="D109" s="73">
        <f t="shared" si="40"/>
        <v>80168.15885</v>
      </c>
      <c r="E109" s="73">
        <f t="shared" si="40"/>
        <v>119672.5859</v>
      </c>
      <c r="F109" s="73">
        <f t="shared" si="40"/>
        <v>159177.013</v>
      </c>
      <c r="G109" s="73">
        <f t="shared" si="40"/>
        <v>198681.4401</v>
      </c>
      <c r="H109" s="73">
        <f t="shared" si="40"/>
        <v>238185.8672</v>
      </c>
      <c r="I109" s="73">
        <f t="shared" si="40"/>
        <v>277690.2943</v>
      </c>
      <c r="J109" s="73">
        <f t="shared" si="40"/>
        <v>317194.7214</v>
      </c>
      <c r="K109" s="73">
        <f t="shared" si="40"/>
        <v>356699.1484</v>
      </c>
      <c r="L109" s="73">
        <f t="shared" si="40"/>
        <v>396203.5755</v>
      </c>
      <c r="M109" s="73">
        <f t="shared" si="40"/>
        <v>435708.0026</v>
      </c>
      <c r="N109" s="73">
        <f t="shared" si="40"/>
        <v>475212.4297</v>
      </c>
      <c r="O109" s="73">
        <f t="shared" si="40"/>
        <v>514716.8568</v>
      </c>
      <c r="P109" s="73">
        <f t="shared" si="40"/>
        <v>554221.2839</v>
      </c>
      <c r="Q109" s="73">
        <f t="shared" si="40"/>
        <v>593725.7109</v>
      </c>
      <c r="R109" s="73">
        <f t="shared" si="40"/>
        <v>633230.138</v>
      </c>
      <c r="S109" s="73">
        <f t="shared" si="40"/>
        <v>672734.5651</v>
      </c>
      <c r="T109" s="73">
        <f t="shared" si="40"/>
        <v>712238.9922</v>
      </c>
      <c r="U109" s="73">
        <f t="shared" si="40"/>
        <v>751743.4193</v>
      </c>
      <c r="V109" s="73">
        <f t="shared" si="40"/>
        <v>791247.8464</v>
      </c>
      <c r="W109" s="73">
        <f t="shared" si="40"/>
        <v>830752.2734</v>
      </c>
      <c r="X109" s="73">
        <f t="shared" si="40"/>
        <v>870256.7005</v>
      </c>
      <c r="Y109" s="73">
        <f t="shared" si="40"/>
        <v>909761.1276</v>
      </c>
      <c r="Z109" s="73">
        <f t="shared" si="40"/>
        <v>949265.5547</v>
      </c>
      <c r="AA109" s="73">
        <f t="shared" si="40"/>
        <v>988769.9818</v>
      </c>
      <c r="AB109" s="73">
        <f t="shared" si="40"/>
        <v>1028274.409</v>
      </c>
      <c r="AC109" s="73">
        <f t="shared" si="40"/>
        <v>1067778.836</v>
      </c>
      <c r="AD109" s="73">
        <f t="shared" si="40"/>
        <v>1107283.263</v>
      </c>
      <c r="AE109" s="73">
        <f t="shared" si="40"/>
        <v>1146787.69</v>
      </c>
      <c r="AF109" s="73">
        <f t="shared" si="40"/>
        <v>1186292.117</v>
      </c>
      <c r="AG109" s="73">
        <f t="shared" si="40"/>
        <v>1225796.544</v>
      </c>
      <c r="AH109" s="73">
        <f t="shared" si="40"/>
        <v>1265300.971</v>
      </c>
      <c r="AI109" s="73">
        <f t="shared" si="40"/>
        <v>1304805.398</v>
      </c>
      <c r="AJ109" s="73">
        <f t="shared" si="40"/>
        <v>1344309.826</v>
      </c>
      <c r="AK109" s="73">
        <f t="shared" si="40"/>
        <v>1383814.253</v>
      </c>
    </row>
    <row r="110" ht="15.0" customHeight="1">
      <c r="A110" s="74" t="s">
        <v>98</v>
      </c>
      <c r="B110" s="75">
        <f>B109</f>
        <v>24200.44271</v>
      </c>
      <c r="C110" s="75">
        <f t="shared" ref="C110:AK110" si="41">C109+B110</f>
        <v>73762.34635</v>
      </c>
      <c r="D110" s="75">
        <f t="shared" si="41"/>
        <v>153930.5052</v>
      </c>
      <c r="E110" s="75">
        <f t="shared" si="41"/>
        <v>273603.0911</v>
      </c>
      <c r="F110" s="75">
        <f t="shared" si="41"/>
        <v>432780.1042</v>
      </c>
      <c r="G110" s="75">
        <f t="shared" si="41"/>
        <v>631461.5443</v>
      </c>
      <c r="H110" s="75">
        <f t="shared" si="41"/>
        <v>869647.4115</v>
      </c>
      <c r="I110" s="75">
        <f t="shared" si="41"/>
        <v>1147337.706</v>
      </c>
      <c r="J110" s="75">
        <f t="shared" si="41"/>
        <v>1464532.427</v>
      </c>
      <c r="K110" s="75">
        <f t="shared" si="41"/>
        <v>1821231.576</v>
      </c>
      <c r="L110" s="75">
        <f t="shared" si="41"/>
        <v>2217435.151</v>
      </c>
      <c r="M110" s="75">
        <f t="shared" si="41"/>
        <v>2653143.154</v>
      </c>
      <c r="N110" s="75">
        <f t="shared" si="41"/>
        <v>3128355.583</v>
      </c>
      <c r="O110" s="75">
        <f t="shared" si="41"/>
        <v>3643072.44</v>
      </c>
      <c r="P110" s="75">
        <f t="shared" si="41"/>
        <v>4197293.724</v>
      </c>
      <c r="Q110" s="75">
        <f t="shared" si="41"/>
        <v>4791019.435</v>
      </c>
      <c r="R110" s="75">
        <f t="shared" si="41"/>
        <v>5424249.573</v>
      </c>
      <c r="S110" s="75">
        <f t="shared" si="41"/>
        <v>6096984.138</v>
      </c>
      <c r="T110" s="75">
        <f t="shared" si="41"/>
        <v>6809223.13</v>
      </c>
      <c r="U110" s="75">
        <f t="shared" si="41"/>
        <v>7560966.549</v>
      </c>
      <c r="V110" s="75">
        <f t="shared" si="41"/>
        <v>8352214.396</v>
      </c>
      <c r="W110" s="75">
        <f t="shared" si="41"/>
        <v>9182966.669</v>
      </c>
      <c r="X110" s="75">
        <f t="shared" si="41"/>
        <v>10053223.37</v>
      </c>
      <c r="Y110" s="75">
        <f t="shared" si="41"/>
        <v>10962984.5</v>
      </c>
      <c r="Z110" s="75">
        <f t="shared" si="41"/>
        <v>11912250.05</v>
      </c>
      <c r="AA110" s="75">
        <f t="shared" si="41"/>
        <v>12901020.03</v>
      </c>
      <c r="AB110" s="75">
        <f t="shared" si="41"/>
        <v>13929294.44</v>
      </c>
      <c r="AC110" s="75">
        <f t="shared" si="41"/>
        <v>14997073.28</v>
      </c>
      <c r="AD110" s="75">
        <f t="shared" si="41"/>
        <v>16104356.54</v>
      </c>
      <c r="AE110" s="75">
        <f t="shared" si="41"/>
        <v>17251144.23</v>
      </c>
      <c r="AF110" s="75">
        <f t="shared" si="41"/>
        <v>18437436.35</v>
      </c>
      <c r="AG110" s="75">
        <f t="shared" si="41"/>
        <v>19663232.89</v>
      </c>
      <c r="AH110" s="75">
        <f t="shared" si="41"/>
        <v>20928533.86</v>
      </c>
      <c r="AI110" s="75">
        <f t="shared" si="41"/>
        <v>22233339.26</v>
      </c>
      <c r="AJ110" s="75">
        <f t="shared" si="41"/>
        <v>23577649.09</v>
      </c>
      <c r="AK110" s="75">
        <f t="shared" si="41"/>
        <v>24961463.34</v>
      </c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ht="16.5" customHeight="1">
      <c r="A112" s="64" t="s">
        <v>99</v>
      </c>
      <c r="B112" s="65" t="s">
        <v>50</v>
      </c>
      <c r="C112" s="65" t="s">
        <v>51</v>
      </c>
      <c r="D112" s="65" t="s">
        <v>52</v>
      </c>
      <c r="E112" s="65" t="s">
        <v>53</v>
      </c>
      <c r="F112" s="65" t="s">
        <v>54</v>
      </c>
      <c r="G112" s="65" t="s">
        <v>55</v>
      </c>
      <c r="H112" s="65" t="s">
        <v>56</v>
      </c>
      <c r="I112" s="65" t="s">
        <v>57</v>
      </c>
      <c r="J112" s="65" t="s">
        <v>58</v>
      </c>
      <c r="K112" s="65" t="s">
        <v>59</v>
      </c>
      <c r="L112" s="65" t="s">
        <v>60</v>
      </c>
      <c r="M112" s="65" t="s">
        <v>61</v>
      </c>
      <c r="N112" s="65" t="s">
        <v>62</v>
      </c>
      <c r="O112" s="65" t="s">
        <v>63</v>
      </c>
      <c r="P112" s="65" t="s">
        <v>64</v>
      </c>
      <c r="Q112" s="65" t="s">
        <v>65</v>
      </c>
      <c r="R112" s="65" t="s">
        <v>66</v>
      </c>
      <c r="S112" s="65" t="s">
        <v>67</v>
      </c>
      <c r="T112" s="65" t="s">
        <v>68</v>
      </c>
      <c r="U112" s="65" t="s">
        <v>69</v>
      </c>
      <c r="V112" s="65" t="s">
        <v>70</v>
      </c>
      <c r="W112" s="65" t="s">
        <v>71</v>
      </c>
      <c r="X112" s="65" t="s">
        <v>72</v>
      </c>
      <c r="Y112" s="65" t="s">
        <v>73</v>
      </c>
      <c r="Z112" s="65" t="s">
        <v>74</v>
      </c>
      <c r="AA112" s="65" t="s">
        <v>75</v>
      </c>
      <c r="AB112" s="65" t="s">
        <v>76</v>
      </c>
      <c r="AC112" s="65" t="s">
        <v>77</v>
      </c>
      <c r="AD112" s="65" t="s">
        <v>78</v>
      </c>
      <c r="AE112" s="65" t="s">
        <v>79</v>
      </c>
      <c r="AF112" s="65" t="s">
        <v>80</v>
      </c>
      <c r="AG112" s="65" t="s">
        <v>81</v>
      </c>
      <c r="AH112" s="65" t="s">
        <v>82</v>
      </c>
      <c r="AI112" s="65" t="s">
        <v>83</v>
      </c>
      <c r="AJ112" s="65" t="s">
        <v>84</v>
      </c>
      <c r="AK112" s="65" t="s">
        <v>85</v>
      </c>
    </row>
    <row r="113" ht="15.0" customHeight="1">
      <c r="A113" s="66" t="s">
        <v>100</v>
      </c>
      <c r="B113" s="29">
        <f t="shared" ref="B113:AK113" si="42">B99*$B$20-B109</f>
        <v>-23728.22049</v>
      </c>
      <c r="C113" s="29">
        <f t="shared" si="42"/>
        <v>-47070.93142</v>
      </c>
      <c r="D113" s="29">
        <f t="shared" si="42"/>
        <v>-72592.23872</v>
      </c>
      <c r="E113" s="29">
        <f t="shared" si="42"/>
        <v>-102416.6194</v>
      </c>
      <c r="F113" s="29">
        <f t="shared" si="42"/>
        <v>-127760.7789</v>
      </c>
      <c r="G113" s="29">
        <f t="shared" si="42"/>
        <v>-148736.723</v>
      </c>
      <c r="H113" s="29">
        <f t="shared" si="42"/>
        <v>-165453.6569</v>
      </c>
      <c r="I113" s="29">
        <f t="shared" si="42"/>
        <v>-178018.0559</v>
      </c>
      <c r="J113" s="29">
        <f t="shared" si="42"/>
        <v>-186533.7334</v>
      </c>
      <c r="K113" s="29">
        <f t="shared" si="42"/>
        <v>-191101.9074</v>
      </c>
      <c r="L113" s="29">
        <f t="shared" si="42"/>
        <v>-191821.2655</v>
      </c>
      <c r="M113" s="29">
        <f t="shared" si="42"/>
        <v>-188788.0281</v>
      </c>
      <c r="N113" s="29">
        <f t="shared" si="42"/>
        <v>-182096.0101</v>
      </c>
      <c r="O113" s="29">
        <f t="shared" si="42"/>
        <v>-171836.681</v>
      </c>
      <c r="P113" s="29">
        <f t="shared" si="42"/>
        <v>-158099.2236</v>
      </c>
      <c r="Q113" s="29">
        <f t="shared" si="42"/>
        <v>-140970.5911</v>
      </c>
      <c r="R113" s="29">
        <f t="shared" si="42"/>
        <v>-120535.5628</v>
      </c>
      <c r="S113" s="29">
        <f t="shared" si="42"/>
        <v>-96876.79873</v>
      </c>
      <c r="T113" s="29">
        <f t="shared" si="42"/>
        <v>-70074.8922</v>
      </c>
      <c r="U113" s="29">
        <f t="shared" si="42"/>
        <v>-40208.42178</v>
      </c>
      <c r="V113" s="29">
        <f t="shared" si="42"/>
        <v>-7354.001581</v>
      </c>
      <c r="W113" s="29">
        <f t="shared" si="42"/>
        <v>28413.66966</v>
      </c>
      <c r="X113" s="29">
        <f t="shared" si="42"/>
        <v>67021.76067</v>
      </c>
      <c r="Y113" s="29">
        <f t="shared" si="42"/>
        <v>108399.2609</v>
      </c>
      <c r="Z113" s="29">
        <f t="shared" si="42"/>
        <v>152476.9353</v>
      </c>
      <c r="AA113" s="29">
        <f t="shared" si="42"/>
        <v>199187.2793</v>
      </c>
      <c r="AB113" s="29">
        <f t="shared" si="42"/>
        <v>248464.4762</v>
      </c>
      <c r="AC113" s="29">
        <f t="shared" si="42"/>
        <v>300244.3548</v>
      </c>
      <c r="AD113" s="29">
        <f t="shared" si="42"/>
        <v>354464.3479</v>
      </c>
      <c r="AE113" s="29">
        <f t="shared" si="42"/>
        <v>411063.4528</v>
      </c>
      <c r="AF113" s="29">
        <f t="shared" si="42"/>
        <v>469982.1916</v>
      </c>
      <c r="AG113" s="29">
        <f t="shared" si="42"/>
        <v>531162.5734</v>
      </c>
      <c r="AH113" s="29">
        <f t="shared" si="42"/>
        <v>594548.0573</v>
      </c>
      <c r="AI113" s="29">
        <f t="shared" si="42"/>
        <v>660083.5156</v>
      </c>
      <c r="AJ113" s="29">
        <f t="shared" si="42"/>
        <v>727715.199</v>
      </c>
      <c r="AK113" s="29">
        <f t="shared" si="42"/>
        <v>797390.7019</v>
      </c>
    </row>
    <row r="114" ht="13.5" customHeight="1">
      <c r="A114" s="27" t="s">
        <v>101</v>
      </c>
      <c r="B114" s="29">
        <f t="shared" ref="B114:AK114" si="43">B101-B110</f>
        <v>-23728.22049</v>
      </c>
      <c r="C114" s="29">
        <f t="shared" si="43"/>
        <v>-70799.15191</v>
      </c>
      <c r="D114" s="29">
        <f t="shared" si="43"/>
        <v>-143391.3906</v>
      </c>
      <c r="E114" s="29">
        <f t="shared" si="43"/>
        <v>-245808.01</v>
      </c>
      <c r="F114" s="29">
        <f t="shared" si="43"/>
        <v>-373568.7889</v>
      </c>
      <c r="G114" s="29">
        <f t="shared" si="43"/>
        <v>-522305.5119</v>
      </c>
      <c r="H114" s="29">
        <f t="shared" si="43"/>
        <v>-687759.1688</v>
      </c>
      <c r="I114" s="29">
        <f t="shared" si="43"/>
        <v>-865777.2247</v>
      </c>
      <c r="J114" s="29">
        <f t="shared" si="43"/>
        <v>-1052310.958</v>
      </c>
      <c r="K114" s="29">
        <f t="shared" si="43"/>
        <v>-1243412.865</v>
      </c>
      <c r="L114" s="29">
        <f t="shared" si="43"/>
        <v>-1435234.131</v>
      </c>
      <c r="M114" s="29">
        <f t="shared" si="43"/>
        <v>-1624022.159</v>
      </c>
      <c r="N114" s="29">
        <f t="shared" si="43"/>
        <v>-1806118.169</v>
      </c>
      <c r="O114" s="29">
        <f t="shared" si="43"/>
        <v>-1977954.85</v>
      </c>
      <c r="P114" s="29">
        <f t="shared" si="43"/>
        <v>-2136054.074</v>
      </c>
      <c r="Q114" s="29">
        <f t="shared" si="43"/>
        <v>-2277024.665</v>
      </c>
      <c r="R114" s="29">
        <f t="shared" si="43"/>
        <v>-2397560.228</v>
      </c>
      <c r="S114" s="29">
        <f t="shared" si="43"/>
        <v>-2494437.026</v>
      </c>
      <c r="T114" s="29">
        <f t="shared" si="43"/>
        <v>-2564511.919</v>
      </c>
      <c r="U114" s="29">
        <f t="shared" si="43"/>
        <v>-2604720.34</v>
      </c>
      <c r="V114" s="29">
        <f t="shared" si="43"/>
        <v>-2612074.342</v>
      </c>
      <c r="W114" s="29">
        <f t="shared" si="43"/>
        <v>-2583660.672</v>
      </c>
      <c r="X114" s="29">
        <f t="shared" si="43"/>
        <v>-2516638.912</v>
      </c>
      <c r="Y114" s="29">
        <f t="shared" si="43"/>
        <v>-2408239.651</v>
      </c>
      <c r="Z114" s="29">
        <f t="shared" si="43"/>
        <v>-2255762.715</v>
      </c>
      <c r="AA114" s="29">
        <f t="shared" si="43"/>
        <v>-2056575.436</v>
      </c>
      <c r="AB114" s="29">
        <f t="shared" si="43"/>
        <v>-1808110.96</v>
      </c>
      <c r="AC114" s="29">
        <f t="shared" si="43"/>
        <v>-1507866.605</v>
      </c>
      <c r="AD114" s="29">
        <f t="shared" si="43"/>
        <v>-1153402.257</v>
      </c>
      <c r="AE114" s="29">
        <f t="shared" si="43"/>
        <v>-742338.8045</v>
      </c>
      <c r="AF114" s="29">
        <f t="shared" si="43"/>
        <v>-272356.6129</v>
      </c>
      <c r="AG114" s="29">
        <f t="shared" si="43"/>
        <v>258805.9605</v>
      </c>
      <c r="AH114" s="29">
        <f t="shared" si="43"/>
        <v>853354.0178</v>
      </c>
      <c r="AI114" s="29">
        <f t="shared" si="43"/>
        <v>1513437.533</v>
      </c>
      <c r="AJ114" s="29">
        <f t="shared" si="43"/>
        <v>2241152.732</v>
      </c>
      <c r="AK114" s="29">
        <f t="shared" si="43"/>
        <v>3038543.434</v>
      </c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ht="19.5" customHeight="1">
      <c r="A149" s="76" t="s">
        <v>117</v>
      </c>
      <c r="B149" s="11"/>
      <c r="C149" s="11"/>
      <c r="D149" s="11"/>
      <c r="E149" s="11"/>
      <c r="F149" s="1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ht="15.0" customHeight="1">
      <c r="A150" s="5"/>
      <c r="B150" s="5"/>
      <c r="C150" s="5"/>
      <c r="D150" s="5"/>
      <c r="E150" s="5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ht="16.5" customHeight="1">
      <c r="A151" s="64" t="s">
        <v>118</v>
      </c>
      <c r="B151" s="85"/>
      <c r="C151" s="85"/>
      <c r="D151" s="85"/>
      <c r="E151" s="85"/>
      <c r="F151" s="85"/>
      <c r="G151" s="8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ht="18.0" customHeight="1">
      <c r="A152" s="86" t="s">
        <v>49</v>
      </c>
      <c r="B152" s="87" t="s">
        <v>50</v>
      </c>
      <c r="C152" s="87" t="s">
        <v>51</v>
      </c>
      <c r="D152" s="87" t="s">
        <v>52</v>
      </c>
      <c r="E152" s="87" t="s">
        <v>53</v>
      </c>
      <c r="F152" s="87" t="s">
        <v>54</v>
      </c>
      <c r="G152" s="87" t="s">
        <v>55</v>
      </c>
      <c r="H152" s="77" t="s">
        <v>56</v>
      </c>
      <c r="I152" s="77" t="s">
        <v>57</v>
      </c>
      <c r="J152" s="77" t="s">
        <v>58</v>
      </c>
      <c r="K152" s="65" t="s">
        <v>59</v>
      </c>
      <c r="L152" s="65" t="s">
        <v>60</v>
      </c>
      <c r="M152" s="65" t="s">
        <v>61</v>
      </c>
      <c r="N152" s="65" t="s">
        <v>62</v>
      </c>
      <c r="O152" s="65" t="s">
        <v>63</v>
      </c>
      <c r="P152" s="65" t="s">
        <v>64</v>
      </c>
      <c r="Q152" s="65" t="s">
        <v>65</v>
      </c>
      <c r="R152" s="65" t="s">
        <v>66</v>
      </c>
      <c r="S152" s="65" t="s">
        <v>67</v>
      </c>
      <c r="T152" s="65" t="s">
        <v>68</v>
      </c>
      <c r="U152" s="65" t="s">
        <v>69</v>
      </c>
      <c r="V152" s="65" t="s">
        <v>70</v>
      </c>
      <c r="W152" s="65" t="s">
        <v>71</v>
      </c>
      <c r="X152" s="65" t="s">
        <v>72</v>
      </c>
      <c r="Y152" s="65" t="s">
        <v>73</v>
      </c>
      <c r="Z152" s="65" t="s">
        <v>74</v>
      </c>
      <c r="AA152" s="65" t="s">
        <v>75</v>
      </c>
      <c r="AB152" s="65" t="s">
        <v>76</v>
      </c>
      <c r="AC152" s="65" t="s">
        <v>77</v>
      </c>
      <c r="AD152" s="65" t="s">
        <v>78</v>
      </c>
      <c r="AE152" s="65" t="s">
        <v>79</v>
      </c>
      <c r="AF152" s="65" t="s">
        <v>80</v>
      </c>
      <c r="AG152" s="65" t="s">
        <v>81</v>
      </c>
      <c r="AH152" s="65" t="s">
        <v>82</v>
      </c>
      <c r="AI152" s="65" t="s">
        <v>83</v>
      </c>
      <c r="AJ152" s="65" t="s">
        <v>84</v>
      </c>
      <c r="AK152" s="65" t="s">
        <v>85</v>
      </c>
    </row>
    <row r="153" ht="15.0" customHeight="1">
      <c r="A153" s="88" t="s">
        <v>9</v>
      </c>
      <c r="B153" s="20">
        <v>0.1</v>
      </c>
      <c r="C153" s="20">
        <v>0.33</v>
      </c>
      <c r="D153" s="20">
        <v>0.66</v>
      </c>
      <c r="E153" s="20">
        <v>1.0</v>
      </c>
      <c r="F153" s="20">
        <v>1.0</v>
      </c>
      <c r="G153" s="20">
        <v>1.0</v>
      </c>
      <c r="H153" s="20">
        <v>1.0</v>
      </c>
      <c r="I153" s="20">
        <v>1.0</v>
      </c>
      <c r="J153" s="20">
        <v>1.0</v>
      </c>
      <c r="K153" s="89">
        <v>1.0</v>
      </c>
      <c r="L153" s="68">
        <v>1.0</v>
      </c>
      <c r="M153" s="68">
        <v>1.0</v>
      </c>
      <c r="N153" s="68">
        <v>1.0</v>
      </c>
      <c r="O153" s="68">
        <v>1.0</v>
      </c>
      <c r="P153" s="68">
        <v>1.0</v>
      </c>
      <c r="Q153" s="68">
        <v>1.0</v>
      </c>
      <c r="R153" s="68">
        <v>1.0</v>
      </c>
      <c r="S153" s="68">
        <v>1.0</v>
      </c>
      <c r="T153" s="68">
        <v>1.0</v>
      </c>
      <c r="U153" s="68">
        <v>1.0</v>
      </c>
      <c r="V153" s="68">
        <v>1.0</v>
      </c>
      <c r="W153" s="68">
        <v>1.0</v>
      </c>
      <c r="X153" s="68">
        <v>1.0</v>
      </c>
      <c r="Y153" s="68">
        <v>1.0</v>
      </c>
      <c r="Z153" s="68">
        <v>1.0</v>
      </c>
      <c r="AA153" s="68">
        <v>1.0</v>
      </c>
      <c r="AB153" s="68">
        <v>1.0</v>
      </c>
      <c r="AC153" s="68">
        <v>1.0</v>
      </c>
      <c r="AD153" s="68">
        <v>1.0</v>
      </c>
      <c r="AE153" s="68">
        <v>1.0</v>
      </c>
      <c r="AF153" s="68">
        <v>1.0</v>
      </c>
      <c r="AG153" s="68">
        <v>1.0</v>
      </c>
      <c r="AH153" s="68">
        <v>1.0</v>
      </c>
      <c r="AI153" s="68">
        <v>1.0</v>
      </c>
      <c r="AJ153" s="68">
        <v>1.0</v>
      </c>
      <c r="AK153" s="68">
        <v>1.0</v>
      </c>
    </row>
    <row r="154" ht="13.5" customHeight="1">
      <c r="A154" s="27" t="s">
        <v>86</v>
      </c>
      <c r="B154" s="28">
        <f t="shared" ref="B154:AK154" si="44">B153*$B$15*(1-$B$11)</f>
        <v>3541.666667</v>
      </c>
      <c r="C154" s="28">
        <f t="shared" si="44"/>
        <v>11687.5</v>
      </c>
      <c r="D154" s="28">
        <f t="shared" si="44"/>
        <v>23375</v>
      </c>
      <c r="E154" s="28">
        <f t="shared" si="44"/>
        <v>35416.66667</v>
      </c>
      <c r="F154" s="28">
        <f t="shared" si="44"/>
        <v>35416.66667</v>
      </c>
      <c r="G154" s="28">
        <f t="shared" si="44"/>
        <v>35416.66667</v>
      </c>
      <c r="H154" s="28">
        <f t="shared" si="44"/>
        <v>35416.66667</v>
      </c>
      <c r="I154" s="28">
        <f t="shared" si="44"/>
        <v>35416.66667</v>
      </c>
      <c r="J154" s="28">
        <f t="shared" si="44"/>
        <v>35416.66667</v>
      </c>
      <c r="K154" s="29">
        <f t="shared" si="44"/>
        <v>35416.66667</v>
      </c>
      <c r="L154" s="29">
        <f t="shared" si="44"/>
        <v>35416.66667</v>
      </c>
      <c r="M154" s="29">
        <f t="shared" si="44"/>
        <v>35416.66667</v>
      </c>
      <c r="N154" s="29">
        <f t="shared" si="44"/>
        <v>35416.66667</v>
      </c>
      <c r="O154" s="29">
        <f t="shared" si="44"/>
        <v>35416.66667</v>
      </c>
      <c r="P154" s="29">
        <f t="shared" si="44"/>
        <v>35416.66667</v>
      </c>
      <c r="Q154" s="29">
        <f t="shared" si="44"/>
        <v>35416.66667</v>
      </c>
      <c r="R154" s="29">
        <f t="shared" si="44"/>
        <v>35416.66667</v>
      </c>
      <c r="S154" s="29">
        <f t="shared" si="44"/>
        <v>35416.66667</v>
      </c>
      <c r="T154" s="29">
        <f t="shared" si="44"/>
        <v>35416.66667</v>
      </c>
      <c r="U154" s="29">
        <f t="shared" si="44"/>
        <v>35416.66667</v>
      </c>
      <c r="V154" s="29">
        <f t="shared" si="44"/>
        <v>35416.66667</v>
      </c>
      <c r="W154" s="29">
        <f t="shared" si="44"/>
        <v>35416.66667</v>
      </c>
      <c r="X154" s="29">
        <f t="shared" si="44"/>
        <v>35416.66667</v>
      </c>
      <c r="Y154" s="29">
        <f t="shared" si="44"/>
        <v>35416.66667</v>
      </c>
      <c r="Z154" s="29">
        <f t="shared" si="44"/>
        <v>35416.66667</v>
      </c>
      <c r="AA154" s="29">
        <f t="shared" si="44"/>
        <v>35416.66667</v>
      </c>
      <c r="AB154" s="29">
        <f t="shared" si="44"/>
        <v>35416.66667</v>
      </c>
      <c r="AC154" s="29">
        <f t="shared" si="44"/>
        <v>35416.66667</v>
      </c>
      <c r="AD154" s="29">
        <f t="shared" si="44"/>
        <v>35416.66667</v>
      </c>
      <c r="AE154" s="29">
        <f t="shared" si="44"/>
        <v>35416.66667</v>
      </c>
      <c r="AF154" s="29">
        <f t="shared" si="44"/>
        <v>35416.66667</v>
      </c>
      <c r="AG154" s="29">
        <f t="shared" si="44"/>
        <v>35416.66667</v>
      </c>
      <c r="AH154" s="29">
        <f t="shared" si="44"/>
        <v>35416.66667</v>
      </c>
      <c r="AI154" s="29">
        <f t="shared" si="44"/>
        <v>35416.66667</v>
      </c>
      <c r="AJ154" s="29">
        <f t="shared" si="44"/>
        <v>35416.66667</v>
      </c>
      <c r="AK154" s="29">
        <f t="shared" si="44"/>
        <v>35416.66667</v>
      </c>
    </row>
    <row r="155" ht="13.5" customHeight="1">
      <c r="A155" s="27" t="s">
        <v>119</v>
      </c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>
        <f t="shared" ref="M155:Y155" si="45">B154</f>
        <v>3541.666667</v>
      </c>
      <c r="N155" s="29">
        <f t="shared" si="45"/>
        <v>11687.5</v>
      </c>
      <c r="O155" s="29">
        <f t="shared" si="45"/>
        <v>23375</v>
      </c>
      <c r="P155" s="29">
        <f t="shared" si="45"/>
        <v>35416.66667</v>
      </c>
      <c r="Q155" s="29">
        <f t="shared" si="45"/>
        <v>35416.66667</v>
      </c>
      <c r="R155" s="29">
        <f t="shared" si="45"/>
        <v>35416.66667</v>
      </c>
      <c r="S155" s="29">
        <f t="shared" si="45"/>
        <v>35416.66667</v>
      </c>
      <c r="T155" s="29">
        <f t="shared" si="45"/>
        <v>35416.66667</v>
      </c>
      <c r="U155" s="29">
        <f t="shared" si="45"/>
        <v>35416.66667</v>
      </c>
      <c r="V155" s="29">
        <f t="shared" si="45"/>
        <v>35416.66667</v>
      </c>
      <c r="W155" s="29">
        <f t="shared" si="45"/>
        <v>35416.66667</v>
      </c>
      <c r="X155" s="29">
        <f t="shared" si="45"/>
        <v>35416.66667</v>
      </c>
      <c r="Y155" s="29">
        <f t="shared" si="45"/>
        <v>35416.66667</v>
      </c>
      <c r="Z155" s="29">
        <f t="shared" ref="Z155:AK155" si="46">M154+M157</f>
        <v>37895.83333</v>
      </c>
      <c r="AA155" s="29">
        <f t="shared" si="46"/>
        <v>43597.91667</v>
      </c>
      <c r="AB155" s="29">
        <f t="shared" si="46"/>
        <v>51779.16667</v>
      </c>
      <c r="AC155" s="29">
        <f t="shared" si="46"/>
        <v>60208.33333</v>
      </c>
      <c r="AD155" s="29">
        <f t="shared" si="46"/>
        <v>60208.33333</v>
      </c>
      <c r="AE155" s="29">
        <f t="shared" si="46"/>
        <v>60208.33333</v>
      </c>
      <c r="AF155" s="29">
        <f t="shared" si="46"/>
        <v>60208.33333</v>
      </c>
      <c r="AG155" s="29">
        <f t="shared" si="46"/>
        <v>60208.33333</v>
      </c>
      <c r="AH155" s="29">
        <f t="shared" si="46"/>
        <v>60208.33333</v>
      </c>
      <c r="AI155" s="29">
        <f t="shared" si="46"/>
        <v>60208.33333</v>
      </c>
      <c r="AJ155" s="29">
        <f t="shared" si="46"/>
        <v>60208.33333</v>
      </c>
      <c r="AK155" s="29">
        <f t="shared" si="46"/>
        <v>60208.33333</v>
      </c>
    </row>
    <row r="156" ht="13.5" customHeight="1">
      <c r="A156" s="27" t="s">
        <v>89</v>
      </c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69">
        <f t="shared" ref="M156:AK156" si="47">-$B$19*12*M155</f>
        <v>-1062.5</v>
      </c>
      <c r="N156" s="69">
        <f t="shared" si="47"/>
        <v>-3506.25</v>
      </c>
      <c r="O156" s="69">
        <f t="shared" si="47"/>
        <v>-7012.5</v>
      </c>
      <c r="P156" s="69">
        <f t="shared" si="47"/>
        <v>-10625</v>
      </c>
      <c r="Q156" s="69">
        <f t="shared" si="47"/>
        <v>-10625</v>
      </c>
      <c r="R156" s="69">
        <f t="shared" si="47"/>
        <v>-10625</v>
      </c>
      <c r="S156" s="69">
        <f t="shared" si="47"/>
        <v>-10625</v>
      </c>
      <c r="T156" s="69">
        <f t="shared" si="47"/>
        <v>-10625</v>
      </c>
      <c r="U156" s="69">
        <f t="shared" si="47"/>
        <v>-10625</v>
      </c>
      <c r="V156" s="69">
        <f t="shared" si="47"/>
        <v>-10625</v>
      </c>
      <c r="W156" s="69">
        <f t="shared" si="47"/>
        <v>-10625</v>
      </c>
      <c r="X156" s="69">
        <f t="shared" si="47"/>
        <v>-10625</v>
      </c>
      <c r="Y156" s="69">
        <f t="shared" si="47"/>
        <v>-10625</v>
      </c>
      <c r="Z156" s="69">
        <f t="shared" si="47"/>
        <v>-11368.75</v>
      </c>
      <c r="AA156" s="69">
        <f t="shared" si="47"/>
        <v>-13079.375</v>
      </c>
      <c r="AB156" s="69">
        <f t="shared" si="47"/>
        <v>-15533.75</v>
      </c>
      <c r="AC156" s="69">
        <f t="shared" si="47"/>
        <v>-18062.5</v>
      </c>
      <c r="AD156" s="69">
        <f t="shared" si="47"/>
        <v>-18062.5</v>
      </c>
      <c r="AE156" s="69">
        <f t="shared" si="47"/>
        <v>-18062.5</v>
      </c>
      <c r="AF156" s="69">
        <f t="shared" si="47"/>
        <v>-18062.5</v>
      </c>
      <c r="AG156" s="69">
        <f t="shared" si="47"/>
        <v>-18062.5</v>
      </c>
      <c r="AH156" s="69">
        <f t="shared" si="47"/>
        <v>-18062.5</v>
      </c>
      <c r="AI156" s="69">
        <f t="shared" si="47"/>
        <v>-18062.5</v>
      </c>
      <c r="AJ156" s="69">
        <f t="shared" si="47"/>
        <v>-18062.5</v>
      </c>
      <c r="AK156" s="69">
        <f t="shared" si="47"/>
        <v>-18062.5</v>
      </c>
    </row>
    <row r="157" ht="13.5" customHeight="1">
      <c r="A157" s="27" t="s">
        <v>120</v>
      </c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f t="shared" ref="M157:AK157" si="48">M155+M156</f>
        <v>2479.166667</v>
      </c>
      <c r="N157" s="29">
        <f t="shared" si="48"/>
        <v>8181.25</v>
      </c>
      <c r="O157" s="29">
        <f t="shared" si="48"/>
        <v>16362.5</v>
      </c>
      <c r="P157" s="29">
        <f t="shared" si="48"/>
        <v>24791.66667</v>
      </c>
      <c r="Q157" s="29">
        <f t="shared" si="48"/>
        <v>24791.66667</v>
      </c>
      <c r="R157" s="29">
        <f t="shared" si="48"/>
        <v>24791.66667</v>
      </c>
      <c r="S157" s="29">
        <f t="shared" si="48"/>
        <v>24791.66667</v>
      </c>
      <c r="T157" s="29">
        <f t="shared" si="48"/>
        <v>24791.66667</v>
      </c>
      <c r="U157" s="29">
        <f t="shared" si="48"/>
        <v>24791.66667</v>
      </c>
      <c r="V157" s="29">
        <f t="shared" si="48"/>
        <v>24791.66667</v>
      </c>
      <c r="W157" s="29">
        <f t="shared" si="48"/>
        <v>24791.66667</v>
      </c>
      <c r="X157" s="29">
        <f t="shared" si="48"/>
        <v>24791.66667</v>
      </c>
      <c r="Y157" s="29">
        <f t="shared" si="48"/>
        <v>24791.66667</v>
      </c>
      <c r="Z157" s="29">
        <f t="shared" si="48"/>
        <v>26527.08333</v>
      </c>
      <c r="AA157" s="29">
        <f t="shared" si="48"/>
        <v>30518.54167</v>
      </c>
      <c r="AB157" s="29">
        <f t="shared" si="48"/>
        <v>36245.41667</v>
      </c>
      <c r="AC157" s="29">
        <f t="shared" si="48"/>
        <v>42145.83333</v>
      </c>
      <c r="AD157" s="29">
        <f t="shared" si="48"/>
        <v>42145.83333</v>
      </c>
      <c r="AE157" s="29">
        <f t="shared" si="48"/>
        <v>42145.83333</v>
      </c>
      <c r="AF157" s="29">
        <f t="shared" si="48"/>
        <v>42145.83333</v>
      </c>
      <c r="AG157" s="29">
        <f t="shared" si="48"/>
        <v>42145.83333</v>
      </c>
      <c r="AH157" s="29">
        <f t="shared" si="48"/>
        <v>42145.83333</v>
      </c>
      <c r="AI157" s="29">
        <f t="shared" si="48"/>
        <v>42145.83333</v>
      </c>
      <c r="AJ157" s="29">
        <f t="shared" si="48"/>
        <v>42145.83333</v>
      </c>
      <c r="AK157" s="29">
        <f t="shared" si="48"/>
        <v>42145.83333</v>
      </c>
    </row>
    <row r="158" ht="13.5" customHeight="1">
      <c r="A158" s="70" t="s">
        <v>121</v>
      </c>
      <c r="B158" s="71">
        <f t="shared" ref="B158:L158" si="49">B154</f>
        <v>3541.666667</v>
      </c>
      <c r="C158" s="71">
        <f t="shared" si="49"/>
        <v>11687.5</v>
      </c>
      <c r="D158" s="71">
        <f t="shared" si="49"/>
        <v>23375</v>
      </c>
      <c r="E158" s="71">
        <f t="shared" si="49"/>
        <v>35416.66667</v>
      </c>
      <c r="F158" s="71">
        <f t="shared" si="49"/>
        <v>35416.66667</v>
      </c>
      <c r="G158" s="71">
        <f t="shared" si="49"/>
        <v>35416.66667</v>
      </c>
      <c r="H158" s="71">
        <f t="shared" si="49"/>
        <v>35416.66667</v>
      </c>
      <c r="I158" s="71">
        <f t="shared" si="49"/>
        <v>35416.66667</v>
      </c>
      <c r="J158" s="71">
        <f t="shared" si="49"/>
        <v>35416.66667</v>
      </c>
      <c r="K158" s="71">
        <f t="shared" si="49"/>
        <v>35416.66667</v>
      </c>
      <c r="L158" s="71">
        <f t="shared" si="49"/>
        <v>35416.66667</v>
      </c>
      <c r="M158" s="71">
        <f t="shared" ref="M158:AK158" si="50">M154+M157</f>
        <v>37895.83333</v>
      </c>
      <c r="N158" s="71">
        <f t="shared" si="50"/>
        <v>43597.91667</v>
      </c>
      <c r="O158" s="71">
        <f t="shared" si="50"/>
        <v>51779.16667</v>
      </c>
      <c r="P158" s="71">
        <f t="shared" si="50"/>
        <v>60208.33333</v>
      </c>
      <c r="Q158" s="71">
        <f t="shared" si="50"/>
        <v>60208.33333</v>
      </c>
      <c r="R158" s="71">
        <f t="shared" si="50"/>
        <v>60208.33333</v>
      </c>
      <c r="S158" s="71">
        <f t="shared" si="50"/>
        <v>60208.33333</v>
      </c>
      <c r="T158" s="71">
        <f t="shared" si="50"/>
        <v>60208.33333</v>
      </c>
      <c r="U158" s="71">
        <f t="shared" si="50"/>
        <v>60208.33333</v>
      </c>
      <c r="V158" s="71">
        <f t="shared" si="50"/>
        <v>60208.33333</v>
      </c>
      <c r="W158" s="71">
        <f t="shared" si="50"/>
        <v>60208.33333</v>
      </c>
      <c r="X158" s="71">
        <f t="shared" si="50"/>
        <v>60208.33333</v>
      </c>
      <c r="Y158" s="71">
        <f t="shared" si="50"/>
        <v>60208.33333</v>
      </c>
      <c r="Z158" s="71">
        <f t="shared" si="50"/>
        <v>61943.75</v>
      </c>
      <c r="AA158" s="71">
        <f t="shared" si="50"/>
        <v>65935.20833</v>
      </c>
      <c r="AB158" s="71">
        <f t="shared" si="50"/>
        <v>71662.08333</v>
      </c>
      <c r="AC158" s="71">
        <f t="shared" si="50"/>
        <v>77562.5</v>
      </c>
      <c r="AD158" s="71">
        <f t="shared" si="50"/>
        <v>77562.5</v>
      </c>
      <c r="AE158" s="71">
        <f t="shared" si="50"/>
        <v>77562.5</v>
      </c>
      <c r="AF158" s="71">
        <f t="shared" si="50"/>
        <v>77562.5</v>
      </c>
      <c r="AG158" s="71">
        <f t="shared" si="50"/>
        <v>77562.5</v>
      </c>
      <c r="AH158" s="71">
        <f t="shared" si="50"/>
        <v>77562.5</v>
      </c>
      <c r="AI158" s="71">
        <f t="shared" si="50"/>
        <v>77562.5</v>
      </c>
      <c r="AJ158" s="71">
        <f t="shared" si="50"/>
        <v>77562.5</v>
      </c>
      <c r="AK158" s="71">
        <f t="shared" si="50"/>
        <v>77562.5</v>
      </c>
    </row>
    <row r="159" ht="15.0" customHeight="1">
      <c r="A159" s="72" t="s">
        <v>91</v>
      </c>
      <c r="B159" s="73">
        <f>B158</f>
        <v>3541.666667</v>
      </c>
      <c r="C159" s="73">
        <f t="shared" ref="C159:AK159" si="51">B159+C158</f>
        <v>15229.16667</v>
      </c>
      <c r="D159" s="73">
        <f t="shared" si="51"/>
        <v>38604.16667</v>
      </c>
      <c r="E159" s="73">
        <f t="shared" si="51"/>
        <v>74020.83333</v>
      </c>
      <c r="F159" s="73">
        <f t="shared" si="51"/>
        <v>109437.5</v>
      </c>
      <c r="G159" s="73">
        <f t="shared" si="51"/>
        <v>144854.1667</v>
      </c>
      <c r="H159" s="73">
        <f t="shared" si="51"/>
        <v>180270.8333</v>
      </c>
      <c r="I159" s="73">
        <f t="shared" si="51"/>
        <v>215687.5</v>
      </c>
      <c r="J159" s="73">
        <f t="shared" si="51"/>
        <v>251104.1667</v>
      </c>
      <c r="K159" s="73">
        <f t="shared" si="51"/>
        <v>286520.8333</v>
      </c>
      <c r="L159" s="73">
        <f t="shared" si="51"/>
        <v>321937.5</v>
      </c>
      <c r="M159" s="73">
        <f t="shared" si="51"/>
        <v>359833.3333</v>
      </c>
      <c r="N159" s="73">
        <f t="shared" si="51"/>
        <v>403431.25</v>
      </c>
      <c r="O159" s="73">
        <f t="shared" si="51"/>
        <v>455210.4167</v>
      </c>
      <c r="P159" s="73">
        <f t="shared" si="51"/>
        <v>515418.75</v>
      </c>
      <c r="Q159" s="73">
        <f t="shared" si="51"/>
        <v>575627.0833</v>
      </c>
      <c r="R159" s="73">
        <f t="shared" si="51"/>
        <v>635835.4167</v>
      </c>
      <c r="S159" s="73">
        <f t="shared" si="51"/>
        <v>696043.75</v>
      </c>
      <c r="T159" s="73">
        <f t="shared" si="51"/>
        <v>756252.0833</v>
      </c>
      <c r="U159" s="73">
        <f t="shared" si="51"/>
        <v>816460.4167</v>
      </c>
      <c r="V159" s="73">
        <f t="shared" si="51"/>
        <v>876668.75</v>
      </c>
      <c r="W159" s="73">
        <f t="shared" si="51"/>
        <v>936877.0833</v>
      </c>
      <c r="X159" s="73">
        <f t="shared" si="51"/>
        <v>997085.4167</v>
      </c>
      <c r="Y159" s="73">
        <f t="shared" si="51"/>
        <v>1057293.75</v>
      </c>
      <c r="Z159" s="73">
        <f t="shared" si="51"/>
        <v>1119237.5</v>
      </c>
      <c r="AA159" s="73">
        <f t="shared" si="51"/>
        <v>1185172.708</v>
      </c>
      <c r="AB159" s="73">
        <f t="shared" si="51"/>
        <v>1256834.792</v>
      </c>
      <c r="AC159" s="73">
        <f t="shared" si="51"/>
        <v>1334397.292</v>
      </c>
      <c r="AD159" s="73">
        <f t="shared" si="51"/>
        <v>1411959.792</v>
      </c>
      <c r="AE159" s="73">
        <f t="shared" si="51"/>
        <v>1489522.292</v>
      </c>
      <c r="AF159" s="73">
        <f t="shared" si="51"/>
        <v>1567084.792</v>
      </c>
      <c r="AG159" s="73">
        <f t="shared" si="51"/>
        <v>1644647.292</v>
      </c>
      <c r="AH159" s="73">
        <f t="shared" si="51"/>
        <v>1722209.792</v>
      </c>
      <c r="AI159" s="73">
        <f t="shared" si="51"/>
        <v>1799772.292</v>
      </c>
      <c r="AJ159" s="73">
        <f t="shared" si="51"/>
        <v>1877334.792</v>
      </c>
      <c r="AK159" s="73">
        <f t="shared" si="51"/>
        <v>1954897.292</v>
      </c>
    </row>
    <row r="160" ht="15.0" customHeight="1">
      <c r="A160" s="74" t="s">
        <v>92</v>
      </c>
      <c r="B160" s="75">
        <f t="shared" ref="B160:AK160" si="52">$B$20*B159</f>
        <v>2833.333333</v>
      </c>
      <c r="C160" s="75">
        <f t="shared" si="52"/>
        <v>12183.33333</v>
      </c>
      <c r="D160" s="75">
        <f t="shared" si="52"/>
        <v>30883.33333</v>
      </c>
      <c r="E160" s="75">
        <f t="shared" si="52"/>
        <v>59216.66667</v>
      </c>
      <c r="F160" s="75">
        <f t="shared" si="52"/>
        <v>87550</v>
      </c>
      <c r="G160" s="75">
        <f t="shared" si="52"/>
        <v>115883.3333</v>
      </c>
      <c r="H160" s="75">
        <f t="shared" si="52"/>
        <v>144216.6667</v>
      </c>
      <c r="I160" s="75">
        <f t="shared" si="52"/>
        <v>172550</v>
      </c>
      <c r="J160" s="75">
        <f t="shared" si="52"/>
        <v>200883.3333</v>
      </c>
      <c r="K160" s="75">
        <f t="shared" si="52"/>
        <v>229216.6667</v>
      </c>
      <c r="L160" s="75">
        <f t="shared" si="52"/>
        <v>257550</v>
      </c>
      <c r="M160" s="75">
        <f t="shared" si="52"/>
        <v>287866.6667</v>
      </c>
      <c r="N160" s="75">
        <f t="shared" si="52"/>
        <v>322745</v>
      </c>
      <c r="O160" s="75">
        <f t="shared" si="52"/>
        <v>364168.3333</v>
      </c>
      <c r="P160" s="75">
        <f t="shared" si="52"/>
        <v>412335</v>
      </c>
      <c r="Q160" s="75">
        <f t="shared" si="52"/>
        <v>460501.6667</v>
      </c>
      <c r="R160" s="75">
        <f t="shared" si="52"/>
        <v>508668.3333</v>
      </c>
      <c r="S160" s="75">
        <f t="shared" si="52"/>
        <v>556835</v>
      </c>
      <c r="T160" s="75">
        <f t="shared" si="52"/>
        <v>605001.6667</v>
      </c>
      <c r="U160" s="75">
        <f t="shared" si="52"/>
        <v>653168.3333</v>
      </c>
      <c r="V160" s="75">
        <f t="shared" si="52"/>
        <v>701335</v>
      </c>
      <c r="W160" s="75">
        <f t="shared" si="52"/>
        <v>749501.6667</v>
      </c>
      <c r="X160" s="75">
        <f t="shared" si="52"/>
        <v>797668.3333</v>
      </c>
      <c r="Y160" s="75">
        <f t="shared" si="52"/>
        <v>845835</v>
      </c>
      <c r="Z160" s="75">
        <f t="shared" si="52"/>
        <v>895390</v>
      </c>
      <c r="AA160" s="75">
        <f t="shared" si="52"/>
        <v>948138.1667</v>
      </c>
      <c r="AB160" s="75">
        <f t="shared" si="52"/>
        <v>1005467.833</v>
      </c>
      <c r="AC160" s="75">
        <f t="shared" si="52"/>
        <v>1067517.833</v>
      </c>
      <c r="AD160" s="75">
        <f t="shared" si="52"/>
        <v>1129567.833</v>
      </c>
      <c r="AE160" s="75">
        <f t="shared" si="52"/>
        <v>1191617.833</v>
      </c>
      <c r="AF160" s="75">
        <f t="shared" si="52"/>
        <v>1253667.833</v>
      </c>
      <c r="AG160" s="75">
        <f t="shared" si="52"/>
        <v>1315717.833</v>
      </c>
      <c r="AH160" s="75">
        <f t="shared" si="52"/>
        <v>1377767.833</v>
      </c>
      <c r="AI160" s="75">
        <f t="shared" si="52"/>
        <v>1439817.833</v>
      </c>
      <c r="AJ160" s="75">
        <f t="shared" si="52"/>
        <v>1501867.833</v>
      </c>
      <c r="AK160" s="75">
        <f t="shared" si="52"/>
        <v>1563917.833</v>
      </c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ht="13.5" customHeight="1">
      <c r="A162" s="3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</row>
    <row r="163" ht="16.5" customHeight="1">
      <c r="A163" s="64" t="s">
        <v>99</v>
      </c>
      <c r="B163" s="65" t="s">
        <v>50</v>
      </c>
      <c r="C163" s="65" t="s">
        <v>51</v>
      </c>
      <c r="D163" s="65" t="s">
        <v>52</v>
      </c>
      <c r="E163" s="65" t="s">
        <v>53</v>
      </c>
      <c r="F163" s="65" t="s">
        <v>54</v>
      </c>
      <c r="G163" s="65" t="s">
        <v>55</v>
      </c>
      <c r="H163" s="65" t="s">
        <v>56</v>
      </c>
      <c r="I163" s="65" t="s">
        <v>57</v>
      </c>
      <c r="J163" s="65" t="s">
        <v>58</v>
      </c>
      <c r="K163" s="65" t="s">
        <v>59</v>
      </c>
      <c r="L163" s="65" t="s">
        <v>60</v>
      </c>
      <c r="M163" s="65" t="s">
        <v>61</v>
      </c>
      <c r="N163" s="65" t="s">
        <v>62</v>
      </c>
      <c r="O163" s="65" t="s">
        <v>63</v>
      </c>
      <c r="P163" s="65" t="s">
        <v>64</v>
      </c>
      <c r="Q163" s="65" t="s">
        <v>65</v>
      </c>
      <c r="R163" s="65" t="s">
        <v>66</v>
      </c>
      <c r="S163" s="65" t="s">
        <v>67</v>
      </c>
      <c r="T163" s="65" t="s">
        <v>68</v>
      </c>
      <c r="U163" s="65" t="s">
        <v>69</v>
      </c>
      <c r="V163" s="65" t="s">
        <v>70</v>
      </c>
      <c r="W163" s="65" t="s">
        <v>71</v>
      </c>
      <c r="X163" s="65" t="s">
        <v>72</v>
      </c>
      <c r="Y163" s="65" t="s">
        <v>73</v>
      </c>
      <c r="Z163" s="65" t="s">
        <v>74</v>
      </c>
      <c r="AA163" s="65" t="s">
        <v>75</v>
      </c>
      <c r="AB163" s="65" t="s">
        <v>76</v>
      </c>
      <c r="AC163" s="65" t="s">
        <v>77</v>
      </c>
      <c r="AD163" s="65" t="s">
        <v>78</v>
      </c>
      <c r="AE163" s="65" t="s">
        <v>79</v>
      </c>
      <c r="AF163" s="65" t="s">
        <v>80</v>
      </c>
      <c r="AG163" s="65" t="s">
        <v>81</v>
      </c>
      <c r="AH163" s="65" t="s">
        <v>82</v>
      </c>
      <c r="AI163" s="65" t="s">
        <v>83</v>
      </c>
      <c r="AJ163" s="65" t="s">
        <v>84</v>
      </c>
      <c r="AK163" s="65" t="s">
        <v>85</v>
      </c>
    </row>
    <row r="164" ht="15.0" customHeight="1">
      <c r="A164" s="66" t="s">
        <v>122</v>
      </c>
      <c r="B164" s="29">
        <f t="shared" ref="B164:AK164" si="53">B158*$B$20-B53</f>
        <v>-9266.888021</v>
      </c>
      <c r="C164" s="29">
        <f t="shared" si="53"/>
        <v>-3330.730469</v>
      </c>
      <c r="D164" s="29">
        <f t="shared" si="53"/>
        <v>3396.872396</v>
      </c>
      <c r="E164" s="29">
        <f t="shared" si="53"/>
        <v>8581.119792</v>
      </c>
      <c r="F164" s="29">
        <f t="shared" si="53"/>
        <v>8581.119792</v>
      </c>
      <c r="G164" s="29">
        <f t="shared" si="53"/>
        <v>8581.119792</v>
      </c>
      <c r="H164" s="29">
        <f t="shared" si="53"/>
        <v>8581.119792</v>
      </c>
      <c r="I164" s="29">
        <f t="shared" si="53"/>
        <v>8581.119792</v>
      </c>
      <c r="J164" s="29">
        <f t="shared" si="53"/>
        <v>8581.119792</v>
      </c>
      <c r="K164" s="29">
        <f t="shared" si="53"/>
        <v>8581.119792</v>
      </c>
      <c r="L164" s="29">
        <f t="shared" si="53"/>
        <v>8581.119792</v>
      </c>
      <c r="M164" s="29">
        <f t="shared" si="53"/>
        <v>10564.45313</v>
      </c>
      <c r="N164" s="29">
        <f t="shared" si="53"/>
        <v>15126.11979</v>
      </c>
      <c r="O164" s="29">
        <f t="shared" si="53"/>
        <v>21671.11979</v>
      </c>
      <c r="P164" s="29">
        <f t="shared" si="53"/>
        <v>28414.45313</v>
      </c>
      <c r="Q164" s="29">
        <f t="shared" si="53"/>
        <v>28414.45313</v>
      </c>
      <c r="R164" s="29">
        <f t="shared" si="53"/>
        <v>28414.45313</v>
      </c>
      <c r="S164" s="29">
        <f t="shared" si="53"/>
        <v>28414.45313</v>
      </c>
      <c r="T164" s="29">
        <f t="shared" si="53"/>
        <v>28414.45313</v>
      </c>
      <c r="U164" s="29">
        <f t="shared" si="53"/>
        <v>28414.45313</v>
      </c>
      <c r="V164" s="29">
        <f t="shared" si="53"/>
        <v>28414.45313</v>
      </c>
      <c r="W164" s="29">
        <f t="shared" si="53"/>
        <v>28414.45313</v>
      </c>
      <c r="X164" s="29">
        <f t="shared" si="53"/>
        <v>28414.45313</v>
      </c>
      <c r="Y164" s="29">
        <f t="shared" si="53"/>
        <v>28414.45313</v>
      </c>
      <c r="Z164" s="29">
        <f t="shared" si="53"/>
        <v>29802.78646</v>
      </c>
      <c r="AA164" s="29">
        <f t="shared" si="53"/>
        <v>32995.95313</v>
      </c>
      <c r="AB164" s="29">
        <f t="shared" si="53"/>
        <v>37577.45313</v>
      </c>
      <c r="AC164" s="29">
        <f t="shared" si="53"/>
        <v>42297.78646</v>
      </c>
      <c r="AD164" s="29">
        <f t="shared" si="53"/>
        <v>42297.78646</v>
      </c>
      <c r="AE164" s="29">
        <f t="shared" si="53"/>
        <v>42297.78646</v>
      </c>
      <c r="AF164" s="29">
        <f t="shared" si="53"/>
        <v>42297.78646</v>
      </c>
      <c r="AG164" s="29">
        <f t="shared" si="53"/>
        <v>42297.78646</v>
      </c>
      <c r="AH164" s="29">
        <f t="shared" si="53"/>
        <v>42297.78646</v>
      </c>
      <c r="AI164" s="29">
        <f t="shared" si="53"/>
        <v>42297.78646</v>
      </c>
      <c r="AJ164" s="29">
        <f t="shared" si="53"/>
        <v>42297.78646</v>
      </c>
      <c r="AK164" s="29">
        <f t="shared" si="53"/>
        <v>42297.78646</v>
      </c>
    </row>
    <row r="165" ht="13.5" customHeight="1">
      <c r="A165" s="27" t="s">
        <v>123</v>
      </c>
      <c r="B165" s="29">
        <f t="shared" ref="B165:AK165" si="54">B160-B54</f>
        <v>-9266.888021</v>
      </c>
      <c r="C165" s="29">
        <f t="shared" si="54"/>
        <v>-12597.61849</v>
      </c>
      <c r="D165" s="29">
        <f t="shared" si="54"/>
        <v>-9200.746094</v>
      </c>
      <c r="E165" s="29">
        <f t="shared" si="54"/>
        <v>-619.6263021</v>
      </c>
      <c r="F165" s="29">
        <f t="shared" si="54"/>
        <v>7961.49349</v>
      </c>
      <c r="G165" s="29">
        <f t="shared" si="54"/>
        <v>16542.61328</v>
      </c>
      <c r="H165" s="29">
        <f t="shared" si="54"/>
        <v>25123.73307</v>
      </c>
      <c r="I165" s="29">
        <f t="shared" si="54"/>
        <v>33704.85286</v>
      </c>
      <c r="J165" s="29">
        <f t="shared" si="54"/>
        <v>42285.97266</v>
      </c>
      <c r="K165" s="29">
        <f t="shared" si="54"/>
        <v>50867.09245</v>
      </c>
      <c r="L165" s="29">
        <f t="shared" si="54"/>
        <v>59448.21224</v>
      </c>
      <c r="M165" s="29">
        <f t="shared" si="54"/>
        <v>70012.66536</v>
      </c>
      <c r="N165" s="29">
        <f t="shared" si="54"/>
        <v>85138.78516</v>
      </c>
      <c r="O165" s="29">
        <f t="shared" si="54"/>
        <v>106809.9049</v>
      </c>
      <c r="P165" s="29">
        <f t="shared" si="54"/>
        <v>135224.3581</v>
      </c>
      <c r="Q165" s="29">
        <f t="shared" si="54"/>
        <v>163638.8112</v>
      </c>
      <c r="R165" s="29">
        <f t="shared" si="54"/>
        <v>192053.2643</v>
      </c>
      <c r="S165" s="29">
        <f t="shared" si="54"/>
        <v>220467.7174</v>
      </c>
      <c r="T165" s="29">
        <f t="shared" si="54"/>
        <v>248882.1706</v>
      </c>
      <c r="U165" s="29">
        <f t="shared" si="54"/>
        <v>277296.6237</v>
      </c>
      <c r="V165" s="29">
        <f t="shared" si="54"/>
        <v>305711.0768</v>
      </c>
      <c r="W165" s="29">
        <f t="shared" si="54"/>
        <v>334125.5299</v>
      </c>
      <c r="X165" s="29">
        <f t="shared" si="54"/>
        <v>362539.9831</v>
      </c>
      <c r="Y165" s="29">
        <f t="shared" si="54"/>
        <v>390954.4362</v>
      </c>
      <c r="Z165" s="29">
        <f t="shared" si="54"/>
        <v>420757.2227</v>
      </c>
      <c r="AA165" s="29">
        <f t="shared" si="54"/>
        <v>453753.1758</v>
      </c>
      <c r="AB165" s="29">
        <f t="shared" si="54"/>
        <v>491330.6289</v>
      </c>
      <c r="AC165" s="29">
        <f t="shared" si="54"/>
        <v>533628.4154</v>
      </c>
      <c r="AD165" s="29">
        <f t="shared" si="54"/>
        <v>575926.2018</v>
      </c>
      <c r="AE165" s="29">
        <f t="shared" si="54"/>
        <v>618223.9883</v>
      </c>
      <c r="AF165" s="29">
        <f t="shared" si="54"/>
        <v>660521.7747</v>
      </c>
      <c r="AG165" s="29">
        <f t="shared" si="54"/>
        <v>702819.5612</v>
      </c>
      <c r="AH165" s="29">
        <f t="shared" si="54"/>
        <v>745117.3477</v>
      </c>
      <c r="AI165" s="29">
        <f t="shared" si="54"/>
        <v>787415.1341</v>
      </c>
      <c r="AJ165" s="29">
        <f t="shared" si="54"/>
        <v>829712.9206</v>
      </c>
      <c r="AK165" s="29">
        <f t="shared" si="54"/>
        <v>872010.707</v>
      </c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ht="16.5" customHeight="1">
      <c r="A183" s="64" t="s">
        <v>124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ht="18.0" customHeight="1">
      <c r="A184" s="86" t="s">
        <v>49</v>
      </c>
      <c r="B184" s="65" t="s">
        <v>50</v>
      </c>
      <c r="C184" s="65" t="s">
        <v>51</v>
      </c>
      <c r="D184" s="65" t="s">
        <v>52</v>
      </c>
      <c r="E184" s="65" t="s">
        <v>53</v>
      </c>
      <c r="F184" s="65" t="s">
        <v>54</v>
      </c>
      <c r="G184" s="65" t="s">
        <v>55</v>
      </c>
      <c r="H184" s="65" t="s">
        <v>56</v>
      </c>
      <c r="I184" s="65" t="s">
        <v>57</v>
      </c>
      <c r="J184" s="65" t="s">
        <v>58</v>
      </c>
      <c r="K184" s="65" t="s">
        <v>59</v>
      </c>
      <c r="L184" s="65" t="s">
        <v>60</v>
      </c>
      <c r="M184" s="65" t="s">
        <v>61</v>
      </c>
      <c r="N184" s="65" t="s">
        <v>62</v>
      </c>
      <c r="O184" s="65" t="s">
        <v>63</v>
      </c>
      <c r="P184" s="65" t="s">
        <v>64</v>
      </c>
      <c r="Q184" s="65" t="s">
        <v>65</v>
      </c>
      <c r="R184" s="65" t="s">
        <v>66</v>
      </c>
      <c r="S184" s="65" t="s">
        <v>67</v>
      </c>
      <c r="T184" s="65" t="s">
        <v>68</v>
      </c>
      <c r="U184" s="65" t="s">
        <v>69</v>
      </c>
      <c r="V184" s="65" t="s">
        <v>70</v>
      </c>
      <c r="W184" s="65" t="s">
        <v>71</v>
      </c>
      <c r="X184" s="65" t="s">
        <v>72</v>
      </c>
      <c r="Y184" s="65" t="s">
        <v>73</v>
      </c>
      <c r="Z184" s="65" t="s">
        <v>74</v>
      </c>
      <c r="AA184" s="65" t="s">
        <v>75</v>
      </c>
      <c r="AB184" s="65" t="s">
        <v>76</v>
      </c>
      <c r="AC184" s="65" t="s">
        <v>77</v>
      </c>
      <c r="AD184" s="65" t="s">
        <v>78</v>
      </c>
      <c r="AE184" s="65" t="s">
        <v>79</v>
      </c>
      <c r="AF184" s="65" t="s">
        <v>80</v>
      </c>
      <c r="AG184" s="65" t="s">
        <v>81</v>
      </c>
      <c r="AH184" s="65" t="s">
        <v>82</v>
      </c>
      <c r="AI184" s="65" t="s">
        <v>83</v>
      </c>
      <c r="AJ184" s="65" t="s">
        <v>84</v>
      </c>
      <c r="AK184" s="65" t="s">
        <v>85</v>
      </c>
    </row>
    <row r="185" ht="15.0" customHeight="1">
      <c r="A185" s="66" t="s">
        <v>86</v>
      </c>
      <c r="B185" s="29">
        <f t="shared" ref="B185:AK185" si="55">B98</f>
        <v>7083.333333</v>
      </c>
      <c r="C185" s="29">
        <f t="shared" si="55"/>
        <v>30458.33333</v>
      </c>
      <c r="D185" s="29">
        <f t="shared" si="55"/>
        <v>77208.33333</v>
      </c>
      <c r="E185" s="29">
        <f t="shared" si="55"/>
        <v>148041.6667</v>
      </c>
      <c r="F185" s="29">
        <f t="shared" si="55"/>
        <v>218875</v>
      </c>
      <c r="G185" s="29">
        <f t="shared" si="55"/>
        <v>289708.3333</v>
      </c>
      <c r="H185" s="29">
        <f t="shared" si="55"/>
        <v>360541.6667</v>
      </c>
      <c r="I185" s="29">
        <f t="shared" si="55"/>
        <v>431375</v>
      </c>
      <c r="J185" s="29">
        <f t="shared" si="55"/>
        <v>502208.3333</v>
      </c>
      <c r="K185" s="29">
        <f t="shared" si="55"/>
        <v>573041.6667</v>
      </c>
      <c r="L185" s="29">
        <f t="shared" si="55"/>
        <v>643875</v>
      </c>
      <c r="M185" s="29">
        <f t="shared" si="55"/>
        <v>714708.3333</v>
      </c>
      <c r="N185" s="29">
        <f t="shared" si="55"/>
        <v>785541.6667</v>
      </c>
      <c r="O185" s="29">
        <f t="shared" si="55"/>
        <v>856375</v>
      </c>
      <c r="P185" s="29">
        <f t="shared" si="55"/>
        <v>927208.3333</v>
      </c>
      <c r="Q185" s="29">
        <f t="shared" si="55"/>
        <v>998041.6667</v>
      </c>
      <c r="R185" s="29">
        <f t="shared" si="55"/>
        <v>1068875</v>
      </c>
      <c r="S185" s="29">
        <f t="shared" si="55"/>
        <v>1139708.333</v>
      </c>
      <c r="T185" s="29">
        <f t="shared" si="55"/>
        <v>1210541.667</v>
      </c>
      <c r="U185" s="29">
        <f t="shared" si="55"/>
        <v>1281375</v>
      </c>
      <c r="V185" s="29">
        <f t="shared" si="55"/>
        <v>1352208.333</v>
      </c>
      <c r="W185" s="29">
        <f t="shared" si="55"/>
        <v>1423041.667</v>
      </c>
      <c r="X185" s="29">
        <f t="shared" si="55"/>
        <v>1493875</v>
      </c>
      <c r="Y185" s="29">
        <f t="shared" si="55"/>
        <v>1564708.333</v>
      </c>
      <c r="Z185" s="29">
        <f t="shared" si="55"/>
        <v>1635541.667</v>
      </c>
      <c r="AA185" s="29">
        <f t="shared" si="55"/>
        <v>1706375</v>
      </c>
      <c r="AB185" s="29">
        <f t="shared" si="55"/>
        <v>1777208.333</v>
      </c>
      <c r="AC185" s="29">
        <f t="shared" si="55"/>
        <v>1848041.667</v>
      </c>
      <c r="AD185" s="29">
        <f t="shared" si="55"/>
        <v>1918875</v>
      </c>
      <c r="AE185" s="29">
        <f t="shared" si="55"/>
        <v>1989708.333</v>
      </c>
      <c r="AF185" s="29">
        <f t="shared" si="55"/>
        <v>2060541.667</v>
      </c>
      <c r="AG185" s="29">
        <f t="shared" si="55"/>
        <v>2131375</v>
      </c>
      <c r="AH185" s="29">
        <f t="shared" si="55"/>
        <v>2202208.333</v>
      </c>
      <c r="AI185" s="29">
        <f t="shared" si="55"/>
        <v>2273041.667</v>
      </c>
      <c r="AJ185" s="29">
        <f t="shared" si="55"/>
        <v>2343875</v>
      </c>
      <c r="AK185" s="29">
        <f t="shared" si="55"/>
        <v>2414708.333</v>
      </c>
    </row>
    <row r="186" ht="13.5" customHeight="1">
      <c r="A186" s="70" t="s">
        <v>125</v>
      </c>
      <c r="B186" s="71">
        <f t="shared" ref="B186:M186" si="56">B185</f>
        <v>7083.333333</v>
      </c>
      <c r="C186" s="71">
        <f t="shared" si="56"/>
        <v>30458.33333</v>
      </c>
      <c r="D186" s="71">
        <f t="shared" si="56"/>
        <v>77208.33333</v>
      </c>
      <c r="E186" s="71">
        <f t="shared" si="56"/>
        <v>148041.6667</v>
      </c>
      <c r="F186" s="71">
        <f t="shared" si="56"/>
        <v>218875</v>
      </c>
      <c r="G186" s="71">
        <f t="shared" si="56"/>
        <v>289708.3333</v>
      </c>
      <c r="H186" s="71">
        <f t="shared" si="56"/>
        <v>360541.6667</v>
      </c>
      <c r="I186" s="71">
        <f t="shared" si="56"/>
        <v>431375</v>
      </c>
      <c r="J186" s="71">
        <f t="shared" si="56"/>
        <v>502208.3333</v>
      </c>
      <c r="K186" s="71">
        <f t="shared" si="56"/>
        <v>573041.6667</v>
      </c>
      <c r="L186" s="71">
        <f t="shared" si="56"/>
        <v>643875</v>
      </c>
      <c r="M186" s="71">
        <f t="shared" si="56"/>
        <v>714708.3333</v>
      </c>
      <c r="N186" s="71">
        <f t="shared" ref="N186:AK186" si="57">N185+B186*12*$B$19</f>
        <v>787666.6667</v>
      </c>
      <c r="O186" s="71">
        <f t="shared" si="57"/>
        <v>865512.5</v>
      </c>
      <c r="P186" s="71">
        <f t="shared" si="57"/>
        <v>950370.8333</v>
      </c>
      <c r="Q186" s="71">
        <f t="shared" si="57"/>
        <v>1042454.167</v>
      </c>
      <c r="R186" s="71">
        <f t="shared" si="57"/>
        <v>1134537.5</v>
      </c>
      <c r="S186" s="71">
        <f t="shared" si="57"/>
        <v>1226620.833</v>
      </c>
      <c r="T186" s="71">
        <f t="shared" si="57"/>
        <v>1318704.167</v>
      </c>
      <c r="U186" s="71">
        <f t="shared" si="57"/>
        <v>1410787.5</v>
      </c>
      <c r="V186" s="71">
        <f t="shared" si="57"/>
        <v>1502870.833</v>
      </c>
      <c r="W186" s="71">
        <f t="shared" si="57"/>
        <v>1594954.167</v>
      </c>
      <c r="X186" s="71">
        <f t="shared" si="57"/>
        <v>1687037.5</v>
      </c>
      <c r="Y186" s="71">
        <f t="shared" si="57"/>
        <v>1779120.833</v>
      </c>
      <c r="Z186" s="71">
        <f t="shared" si="57"/>
        <v>1871841.667</v>
      </c>
      <c r="AA186" s="71">
        <f t="shared" si="57"/>
        <v>1966028.75</v>
      </c>
      <c r="AB186" s="71">
        <f t="shared" si="57"/>
        <v>2062319.583</v>
      </c>
      <c r="AC186" s="71">
        <f t="shared" si="57"/>
        <v>2160777.917</v>
      </c>
      <c r="AD186" s="71">
        <f t="shared" si="57"/>
        <v>2259236.25</v>
      </c>
      <c r="AE186" s="71">
        <f t="shared" si="57"/>
        <v>2357694.583</v>
      </c>
      <c r="AF186" s="71">
        <f t="shared" si="57"/>
        <v>2456152.917</v>
      </c>
      <c r="AG186" s="71">
        <f t="shared" si="57"/>
        <v>2554611.25</v>
      </c>
      <c r="AH186" s="71">
        <f t="shared" si="57"/>
        <v>2653069.583</v>
      </c>
      <c r="AI186" s="71">
        <f t="shared" si="57"/>
        <v>2751527.917</v>
      </c>
      <c r="AJ186" s="71">
        <f t="shared" si="57"/>
        <v>2849986.25</v>
      </c>
      <c r="AK186" s="71">
        <f t="shared" si="57"/>
        <v>2948444.583</v>
      </c>
    </row>
    <row r="187" ht="15.0" customHeight="1">
      <c r="A187" s="72" t="s">
        <v>91</v>
      </c>
      <c r="B187" s="73">
        <f>B186</f>
        <v>7083.333333</v>
      </c>
      <c r="C187" s="73">
        <f t="shared" ref="C187:AK187" si="58">B187+C186</f>
        <v>37541.66667</v>
      </c>
      <c r="D187" s="73">
        <f t="shared" si="58"/>
        <v>114750</v>
      </c>
      <c r="E187" s="73">
        <f t="shared" si="58"/>
        <v>262791.6667</v>
      </c>
      <c r="F187" s="73">
        <f t="shared" si="58"/>
        <v>481666.6667</v>
      </c>
      <c r="G187" s="73">
        <f t="shared" si="58"/>
        <v>771375</v>
      </c>
      <c r="H187" s="73">
        <f t="shared" si="58"/>
        <v>1131916.667</v>
      </c>
      <c r="I187" s="73">
        <f t="shared" si="58"/>
        <v>1563291.667</v>
      </c>
      <c r="J187" s="73">
        <f t="shared" si="58"/>
        <v>2065500</v>
      </c>
      <c r="K187" s="73">
        <f t="shared" si="58"/>
        <v>2638541.667</v>
      </c>
      <c r="L187" s="73">
        <f t="shared" si="58"/>
        <v>3282416.667</v>
      </c>
      <c r="M187" s="73">
        <f t="shared" si="58"/>
        <v>3997125</v>
      </c>
      <c r="N187" s="73">
        <f t="shared" si="58"/>
        <v>4784791.667</v>
      </c>
      <c r="O187" s="73">
        <f t="shared" si="58"/>
        <v>5650304.167</v>
      </c>
      <c r="P187" s="73">
        <f t="shared" si="58"/>
        <v>6600675</v>
      </c>
      <c r="Q187" s="73">
        <f t="shared" si="58"/>
        <v>7643129.167</v>
      </c>
      <c r="R187" s="73">
        <f t="shared" si="58"/>
        <v>8777666.667</v>
      </c>
      <c r="S187" s="73">
        <f t="shared" si="58"/>
        <v>10004287.5</v>
      </c>
      <c r="T187" s="73">
        <f t="shared" si="58"/>
        <v>11322991.67</v>
      </c>
      <c r="U187" s="73">
        <f t="shared" si="58"/>
        <v>12733779.17</v>
      </c>
      <c r="V187" s="73">
        <f t="shared" si="58"/>
        <v>14236650</v>
      </c>
      <c r="W187" s="73">
        <f t="shared" si="58"/>
        <v>15831604.17</v>
      </c>
      <c r="X187" s="73">
        <f t="shared" si="58"/>
        <v>17518641.67</v>
      </c>
      <c r="Y187" s="73">
        <f t="shared" si="58"/>
        <v>19297762.5</v>
      </c>
      <c r="Z187" s="73">
        <f t="shared" si="58"/>
        <v>21169604.17</v>
      </c>
      <c r="AA187" s="73">
        <f t="shared" si="58"/>
        <v>23135632.92</v>
      </c>
      <c r="AB187" s="73">
        <f t="shared" si="58"/>
        <v>25197952.5</v>
      </c>
      <c r="AC187" s="73">
        <f t="shared" si="58"/>
        <v>27358730.42</v>
      </c>
      <c r="AD187" s="73">
        <f t="shared" si="58"/>
        <v>29617966.67</v>
      </c>
      <c r="AE187" s="73">
        <f t="shared" si="58"/>
        <v>31975661.25</v>
      </c>
      <c r="AF187" s="73">
        <f t="shared" si="58"/>
        <v>34431814.17</v>
      </c>
      <c r="AG187" s="73">
        <f t="shared" si="58"/>
        <v>36986425.42</v>
      </c>
      <c r="AH187" s="73">
        <f t="shared" si="58"/>
        <v>39639495</v>
      </c>
      <c r="AI187" s="73">
        <f t="shared" si="58"/>
        <v>42391022.92</v>
      </c>
      <c r="AJ187" s="73">
        <f t="shared" si="58"/>
        <v>45241009.17</v>
      </c>
      <c r="AK187" s="73">
        <f t="shared" si="58"/>
        <v>48189453.75</v>
      </c>
    </row>
    <row r="188" ht="15.0" customHeight="1">
      <c r="A188" s="74" t="s">
        <v>92</v>
      </c>
      <c r="B188" s="75">
        <f t="shared" ref="B188:AK188" si="59">$B$20*B187</f>
        <v>5666.666667</v>
      </c>
      <c r="C188" s="75">
        <f t="shared" si="59"/>
        <v>30033.33333</v>
      </c>
      <c r="D188" s="75">
        <f t="shared" si="59"/>
        <v>91800</v>
      </c>
      <c r="E188" s="75">
        <f t="shared" si="59"/>
        <v>210233.3333</v>
      </c>
      <c r="F188" s="75">
        <f t="shared" si="59"/>
        <v>385333.3333</v>
      </c>
      <c r="G188" s="75">
        <f t="shared" si="59"/>
        <v>617100</v>
      </c>
      <c r="H188" s="75">
        <f t="shared" si="59"/>
        <v>905533.3333</v>
      </c>
      <c r="I188" s="75">
        <f t="shared" si="59"/>
        <v>1250633.333</v>
      </c>
      <c r="J188" s="75">
        <f t="shared" si="59"/>
        <v>1652400</v>
      </c>
      <c r="K188" s="75">
        <f t="shared" si="59"/>
        <v>2110833.333</v>
      </c>
      <c r="L188" s="75">
        <f t="shared" si="59"/>
        <v>2625933.333</v>
      </c>
      <c r="M188" s="75">
        <f t="shared" si="59"/>
        <v>3197700</v>
      </c>
      <c r="N188" s="75">
        <f t="shared" si="59"/>
        <v>3827833.333</v>
      </c>
      <c r="O188" s="75">
        <f t="shared" si="59"/>
        <v>4520243.333</v>
      </c>
      <c r="P188" s="75">
        <f t="shared" si="59"/>
        <v>5280540</v>
      </c>
      <c r="Q188" s="75">
        <f t="shared" si="59"/>
        <v>6114503.333</v>
      </c>
      <c r="R188" s="75">
        <f t="shared" si="59"/>
        <v>7022133.333</v>
      </c>
      <c r="S188" s="75">
        <f t="shared" si="59"/>
        <v>8003430</v>
      </c>
      <c r="T188" s="75">
        <f t="shared" si="59"/>
        <v>9058393.333</v>
      </c>
      <c r="U188" s="75">
        <f t="shared" si="59"/>
        <v>10187023.33</v>
      </c>
      <c r="V188" s="75">
        <f t="shared" si="59"/>
        <v>11389320</v>
      </c>
      <c r="W188" s="75">
        <f t="shared" si="59"/>
        <v>12665283.33</v>
      </c>
      <c r="X188" s="75">
        <f t="shared" si="59"/>
        <v>14014913.33</v>
      </c>
      <c r="Y188" s="75">
        <f t="shared" si="59"/>
        <v>15438210</v>
      </c>
      <c r="Z188" s="75">
        <f t="shared" si="59"/>
        <v>16935683.33</v>
      </c>
      <c r="AA188" s="75">
        <f t="shared" si="59"/>
        <v>18508506.33</v>
      </c>
      <c r="AB188" s="75">
        <f t="shared" si="59"/>
        <v>20158362</v>
      </c>
      <c r="AC188" s="75">
        <f t="shared" si="59"/>
        <v>21886984.33</v>
      </c>
      <c r="AD188" s="75">
        <f t="shared" si="59"/>
        <v>23694373.33</v>
      </c>
      <c r="AE188" s="75">
        <f t="shared" si="59"/>
        <v>25580529</v>
      </c>
      <c r="AF188" s="75">
        <f t="shared" si="59"/>
        <v>27545451.33</v>
      </c>
      <c r="AG188" s="75">
        <f t="shared" si="59"/>
        <v>29589140.33</v>
      </c>
      <c r="AH188" s="75">
        <f t="shared" si="59"/>
        <v>31711596</v>
      </c>
      <c r="AI188" s="75">
        <f t="shared" si="59"/>
        <v>33912818.33</v>
      </c>
      <c r="AJ188" s="75">
        <f t="shared" si="59"/>
        <v>36192807.33</v>
      </c>
      <c r="AK188" s="75">
        <f t="shared" si="59"/>
        <v>38551563</v>
      </c>
    </row>
    <row r="189" ht="13.5" customHeight="1">
      <c r="A189" s="27" t="s">
        <v>116</v>
      </c>
      <c r="B189" s="29">
        <f>B186</f>
        <v>7083.333333</v>
      </c>
      <c r="C189" s="29">
        <f t="shared" ref="C189:AK189" si="60">C186-B186</f>
        <v>23375</v>
      </c>
      <c r="D189" s="29">
        <f t="shared" si="60"/>
        <v>46750</v>
      </c>
      <c r="E189" s="29">
        <f t="shared" si="60"/>
        <v>70833.33333</v>
      </c>
      <c r="F189" s="29">
        <f t="shared" si="60"/>
        <v>70833.33333</v>
      </c>
      <c r="G189" s="29">
        <f t="shared" si="60"/>
        <v>70833.33333</v>
      </c>
      <c r="H189" s="29">
        <f t="shared" si="60"/>
        <v>70833.33333</v>
      </c>
      <c r="I189" s="29">
        <f t="shared" si="60"/>
        <v>70833.33333</v>
      </c>
      <c r="J189" s="29">
        <f t="shared" si="60"/>
        <v>70833.33333</v>
      </c>
      <c r="K189" s="29">
        <f t="shared" si="60"/>
        <v>70833.33333</v>
      </c>
      <c r="L189" s="29">
        <f t="shared" si="60"/>
        <v>70833.33333</v>
      </c>
      <c r="M189" s="29">
        <f t="shared" si="60"/>
        <v>70833.33333</v>
      </c>
      <c r="N189" s="29">
        <f t="shared" si="60"/>
        <v>72958.33333</v>
      </c>
      <c r="O189" s="29">
        <f t="shared" si="60"/>
        <v>77845.83333</v>
      </c>
      <c r="P189" s="29">
        <f t="shared" si="60"/>
        <v>84858.33333</v>
      </c>
      <c r="Q189" s="29">
        <f t="shared" si="60"/>
        <v>92083.33333</v>
      </c>
      <c r="R189" s="29">
        <f t="shared" si="60"/>
        <v>92083.33333</v>
      </c>
      <c r="S189" s="29">
        <f t="shared" si="60"/>
        <v>92083.33333</v>
      </c>
      <c r="T189" s="29">
        <f t="shared" si="60"/>
        <v>92083.33333</v>
      </c>
      <c r="U189" s="29">
        <f t="shared" si="60"/>
        <v>92083.33333</v>
      </c>
      <c r="V189" s="29">
        <f t="shared" si="60"/>
        <v>92083.33333</v>
      </c>
      <c r="W189" s="29">
        <f t="shared" si="60"/>
        <v>92083.33333</v>
      </c>
      <c r="X189" s="29">
        <f t="shared" si="60"/>
        <v>92083.33333</v>
      </c>
      <c r="Y189" s="29">
        <f t="shared" si="60"/>
        <v>92083.33333</v>
      </c>
      <c r="Z189" s="29">
        <f t="shared" si="60"/>
        <v>92720.83333</v>
      </c>
      <c r="AA189" s="29">
        <f t="shared" si="60"/>
        <v>94187.08333</v>
      </c>
      <c r="AB189" s="29">
        <f t="shared" si="60"/>
        <v>96290.83333</v>
      </c>
      <c r="AC189" s="29">
        <f t="shared" si="60"/>
        <v>98458.33333</v>
      </c>
      <c r="AD189" s="29">
        <f t="shared" si="60"/>
        <v>98458.33333</v>
      </c>
      <c r="AE189" s="29">
        <f t="shared" si="60"/>
        <v>98458.33333</v>
      </c>
      <c r="AF189" s="29">
        <f t="shared" si="60"/>
        <v>98458.33333</v>
      </c>
      <c r="AG189" s="29">
        <f t="shared" si="60"/>
        <v>98458.33333</v>
      </c>
      <c r="AH189" s="29">
        <f t="shared" si="60"/>
        <v>98458.33333</v>
      </c>
      <c r="AI189" s="29">
        <f t="shared" si="60"/>
        <v>98458.33333</v>
      </c>
      <c r="AJ189" s="29">
        <f t="shared" si="60"/>
        <v>98458.33333</v>
      </c>
      <c r="AK189" s="29">
        <f t="shared" si="60"/>
        <v>98458.33333</v>
      </c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ht="16.5" customHeight="1">
      <c r="A192" s="64" t="s">
        <v>99</v>
      </c>
      <c r="B192" s="65" t="s">
        <v>50</v>
      </c>
      <c r="C192" s="65" t="s">
        <v>51</v>
      </c>
      <c r="D192" s="65" t="s">
        <v>52</v>
      </c>
      <c r="E192" s="65" t="s">
        <v>53</v>
      </c>
      <c r="F192" s="65" t="s">
        <v>54</v>
      </c>
      <c r="G192" s="65" t="s">
        <v>55</v>
      </c>
      <c r="H192" s="65" t="s">
        <v>56</v>
      </c>
      <c r="I192" s="65" t="s">
        <v>57</v>
      </c>
      <c r="J192" s="65" t="s">
        <v>58</v>
      </c>
      <c r="K192" s="65" t="s">
        <v>59</v>
      </c>
      <c r="L192" s="65" t="s">
        <v>60</v>
      </c>
      <c r="M192" s="65" t="s">
        <v>61</v>
      </c>
      <c r="N192" s="65" t="s">
        <v>62</v>
      </c>
      <c r="O192" s="65" t="s">
        <v>63</v>
      </c>
      <c r="P192" s="65" t="s">
        <v>64</v>
      </c>
      <c r="Q192" s="65" t="s">
        <v>65</v>
      </c>
      <c r="R192" s="65" t="s">
        <v>66</v>
      </c>
      <c r="S192" s="65" t="s">
        <v>67</v>
      </c>
      <c r="T192" s="65" t="s">
        <v>68</v>
      </c>
      <c r="U192" s="65" t="s">
        <v>69</v>
      </c>
      <c r="V192" s="65" t="s">
        <v>70</v>
      </c>
      <c r="W192" s="65" t="s">
        <v>71</v>
      </c>
      <c r="X192" s="65" t="s">
        <v>72</v>
      </c>
      <c r="Y192" s="65" t="s">
        <v>73</v>
      </c>
      <c r="Z192" s="65" t="s">
        <v>74</v>
      </c>
      <c r="AA192" s="65" t="s">
        <v>75</v>
      </c>
      <c r="AB192" s="65" t="s">
        <v>76</v>
      </c>
      <c r="AC192" s="65" t="s">
        <v>77</v>
      </c>
      <c r="AD192" s="65" t="s">
        <v>78</v>
      </c>
      <c r="AE192" s="65" t="s">
        <v>79</v>
      </c>
      <c r="AF192" s="65" t="s">
        <v>80</v>
      </c>
      <c r="AG192" s="65" t="s">
        <v>81</v>
      </c>
      <c r="AH192" s="65" t="s">
        <v>82</v>
      </c>
      <c r="AI192" s="65" t="s">
        <v>83</v>
      </c>
      <c r="AJ192" s="65" t="s">
        <v>84</v>
      </c>
      <c r="AK192" s="65" t="s">
        <v>85</v>
      </c>
    </row>
    <row r="193" ht="15.0" customHeight="1">
      <c r="A193" s="66" t="s">
        <v>122</v>
      </c>
      <c r="B193" s="29">
        <f t="shared" ref="B193:AK193" si="61">B186*$B$20-B53</f>
        <v>-6433.554688</v>
      </c>
      <c r="C193" s="29">
        <f t="shared" si="61"/>
        <v>11685.9362</v>
      </c>
      <c r="D193" s="29">
        <f t="shared" si="61"/>
        <v>46463.53906</v>
      </c>
      <c r="E193" s="29">
        <f t="shared" si="61"/>
        <v>98681.11979</v>
      </c>
      <c r="F193" s="29">
        <f t="shared" si="61"/>
        <v>155347.7865</v>
      </c>
      <c r="G193" s="29">
        <f t="shared" si="61"/>
        <v>212014.4531</v>
      </c>
      <c r="H193" s="29">
        <f t="shared" si="61"/>
        <v>268681.1198</v>
      </c>
      <c r="I193" s="29">
        <f t="shared" si="61"/>
        <v>325347.7865</v>
      </c>
      <c r="J193" s="29">
        <f t="shared" si="61"/>
        <v>382014.4531</v>
      </c>
      <c r="K193" s="29">
        <f t="shared" si="61"/>
        <v>438681.1198</v>
      </c>
      <c r="L193" s="29">
        <f t="shared" si="61"/>
        <v>495347.7865</v>
      </c>
      <c r="M193" s="29">
        <f t="shared" si="61"/>
        <v>552014.4531</v>
      </c>
      <c r="N193" s="29">
        <f t="shared" si="61"/>
        <v>610381.1198</v>
      </c>
      <c r="O193" s="29">
        <f t="shared" si="61"/>
        <v>672657.7865</v>
      </c>
      <c r="P193" s="29">
        <f t="shared" si="61"/>
        <v>740544.4531</v>
      </c>
      <c r="Q193" s="29">
        <f t="shared" si="61"/>
        <v>814211.1198</v>
      </c>
      <c r="R193" s="29">
        <f t="shared" si="61"/>
        <v>887877.7865</v>
      </c>
      <c r="S193" s="29">
        <f t="shared" si="61"/>
        <v>961544.4531</v>
      </c>
      <c r="T193" s="29">
        <f t="shared" si="61"/>
        <v>1035211.12</v>
      </c>
      <c r="U193" s="29">
        <f t="shared" si="61"/>
        <v>1108877.786</v>
      </c>
      <c r="V193" s="29">
        <f t="shared" si="61"/>
        <v>1182544.453</v>
      </c>
      <c r="W193" s="29">
        <f t="shared" si="61"/>
        <v>1256211.12</v>
      </c>
      <c r="X193" s="29">
        <f t="shared" si="61"/>
        <v>1329877.786</v>
      </c>
      <c r="Y193" s="29">
        <f t="shared" si="61"/>
        <v>1403544.453</v>
      </c>
      <c r="Z193" s="29">
        <f t="shared" si="61"/>
        <v>1477721.12</v>
      </c>
      <c r="AA193" s="29">
        <f t="shared" si="61"/>
        <v>1553070.786</v>
      </c>
      <c r="AB193" s="29">
        <f t="shared" si="61"/>
        <v>1630103.453</v>
      </c>
      <c r="AC193" s="29">
        <f t="shared" si="61"/>
        <v>1708870.12</v>
      </c>
      <c r="AD193" s="29">
        <f t="shared" si="61"/>
        <v>1787636.786</v>
      </c>
      <c r="AE193" s="29">
        <f t="shared" si="61"/>
        <v>1866403.453</v>
      </c>
      <c r="AF193" s="29">
        <f t="shared" si="61"/>
        <v>1945170.12</v>
      </c>
      <c r="AG193" s="29">
        <f t="shared" si="61"/>
        <v>2023936.786</v>
      </c>
      <c r="AH193" s="29">
        <f t="shared" si="61"/>
        <v>2102703.453</v>
      </c>
      <c r="AI193" s="29">
        <f t="shared" si="61"/>
        <v>2181470.12</v>
      </c>
      <c r="AJ193" s="29">
        <f t="shared" si="61"/>
        <v>2260236.786</v>
      </c>
      <c r="AK193" s="29">
        <f t="shared" si="61"/>
        <v>2339003.453</v>
      </c>
    </row>
    <row r="194" ht="13.5" customHeight="1">
      <c r="A194" s="27" t="s">
        <v>123</v>
      </c>
      <c r="B194" s="29">
        <f t="shared" ref="B194:AK194" si="62">B188-B109</f>
        <v>-18533.77604</v>
      </c>
      <c r="C194" s="29">
        <f t="shared" si="62"/>
        <v>-19528.57031</v>
      </c>
      <c r="D194" s="29">
        <f t="shared" si="62"/>
        <v>11631.84115</v>
      </c>
      <c r="E194" s="29">
        <f t="shared" si="62"/>
        <v>90560.7474</v>
      </c>
      <c r="F194" s="29">
        <f t="shared" si="62"/>
        <v>226156.3203</v>
      </c>
      <c r="G194" s="29">
        <f t="shared" si="62"/>
        <v>418418.5599</v>
      </c>
      <c r="H194" s="29">
        <f t="shared" si="62"/>
        <v>667347.4661</v>
      </c>
      <c r="I194" s="29">
        <f t="shared" si="62"/>
        <v>972943.0391</v>
      </c>
      <c r="J194" s="29">
        <f t="shared" si="62"/>
        <v>1335205.279</v>
      </c>
      <c r="K194" s="29">
        <f t="shared" si="62"/>
        <v>1754134.185</v>
      </c>
      <c r="L194" s="29">
        <f t="shared" si="62"/>
        <v>2229729.758</v>
      </c>
      <c r="M194" s="29">
        <f t="shared" si="62"/>
        <v>2761991.997</v>
      </c>
      <c r="N194" s="29">
        <f t="shared" si="62"/>
        <v>3352620.904</v>
      </c>
      <c r="O194" s="29">
        <f t="shared" si="62"/>
        <v>4005526.477</v>
      </c>
      <c r="P194" s="29">
        <f t="shared" si="62"/>
        <v>4726318.716</v>
      </c>
      <c r="Q194" s="29">
        <f t="shared" si="62"/>
        <v>5520777.622</v>
      </c>
      <c r="R194" s="29">
        <f t="shared" si="62"/>
        <v>6388903.195</v>
      </c>
      <c r="S194" s="29">
        <f t="shared" si="62"/>
        <v>7330695.435</v>
      </c>
      <c r="T194" s="29">
        <f t="shared" si="62"/>
        <v>8346154.341</v>
      </c>
      <c r="U194" s="29">
        <f t="shared" si="62"/>
        <v>9435279.914</v>
      </c>
      <c r="V194" s="29">
        <f t="shared" si="62"/>
        <v>10598072.15</v>
      </c>
      <c r="W194" s="29">
        <f t="shared" si="62"/>
        <v>11834531.06</v>
      </c>
      <c r="X194" s="29">
        <f t="shared" si="62"/>
        <v>13144656.63</v>
      </c>
      <c r="Y194" s="29">
        <f t="shared" si="62"/>
        <v>14528448.87</v>
      </c>
      <c r="Z194" s="29">
        <f t="shared" si="62"/>
        <v>15986417.78</v>
      </c>
      <c r="AA194" s="29">
        <f t="shared" si="62"/>
        <v>17519736.35</v>
      </c>
      <c r="AB194" s="29">
        <f t="shared" si="62"/>
        <v>19130087.59</v>
      </c>
      <c r="AC194" s="29">
        <f t="shared" si="62"/>
        <v>20819205.5</v>
      </c>
      <c r="AD194" s="29">
        <f t="shared" si="62"/>
        <v>22587090.07</v>
      </c>
      <c r="AE194" s="29">
        <f t="shared" si="62"/>
        <v>24433741.31</v>
      </c>
      <c r="AF194" s="29">
        <f t="shared" si="62"/>
        <v>26359159.22</v>
      </c>
      <c r="AG194" s="29">
        <f t="shared" si="62"/>
        <v>28363343.79</v>
      </c>
      <c r="AH194" s="29">
        <f t="shared" si="62"/>
        <v>30446295.03</v>
      </c>
      <c r="AI194" s="29">
        <f t="shared" si="62"/>
        <v>32608012.93</v>
      </c>
      <c r="AJ194" s="29">
        <f t="shared" si="62"/>
        <v>34848497.51</v>
      </c>
      <c r="AK194" s="29">
        <f t="shared" si="62"/>
        <v>37167748.75</v>
      </c>
    </row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1.13"/>
    <col customWidth="1" min="3" max="7" width="12.25"/>
    <col customWidth="1" min="8" max="8" width="13.13"/>
    <col customWidth="1" min="9" max="21" width="13.75"/>
    <col customWidth="1" min="22" max="37" width="14.25"/>
  </cols>
  <sheetData>
    <row r="1" ht="21.75" customHeight="1">
      <c r="A1" s="90" t="s">
        <v>126</v>
      </c>
      <c r="B1" s="91"/>
      <c r="C1" s="91"/>
      <c r="D1" s="91"/>
      <c r="E1" s="9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ht="13.5" customHeight="1">
      <c r="A3" s="3"/>
      <c r="B3" s="6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ht="13.5" customHeight="1">
      <c r="A4" s="3"/>
      <c r="B4" s="2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19.5" customHeight="1">
      <c r="A5" s="76" t="s">
        <v>127</v>
      </c>
      <c r="B5" s="11"/>
      <c r="C5" s="1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ht="15.0" customHeight="1">
      <c r="A6" s="5"/>
      <c r="B6" s="75"/>
      <c r="C6" s="7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ht="13.5" customHeight="1">
      <c r="A7" s="3"/>
      <c r="B7" s="77" t="s">
        <v>50</v>
      </c>
      <c r="C7" s="77" t="s">
        <v>51</v>
      </c>
      <c r="D7" s="77" t="s">
        <v>52</v>
      </c>
      <c r="E7" s="77" t="s">
        <v>53</v>
      </c>
      <c r="F7" s="77" t="s">
        <v>54</v>
      </c>
      <c r="G7" s="77" t="s">
        <v>55</v>
      </c>
      <c r="H7" s="77" t="s">
        <v>56</v>
      </c>
      <c r="I7" s="77" t="s">
        <v>57</v>
      </c>
      <c r="J7" s="77" t="s">
        <v>58</v>
      </c>
      <c r="K7" s="77" t="s">
        <v>59</v>
      </c>
      <c r="L7" s="77" t="s">
        <v>60</v>
      </c>
      <c r="M7" s="77" t="s">
        <v>61</v>
      </c>
      <c r="N7" s="77" t="s">
        <v>62</v>
      </c>
      <c r="O7" s="77" t="s">
        <v>63</v>
      </c>
      <c r="P7" s="77" t="s">
        <v>64</v>
      </c>
      <c r="Q7" s="77" t="s">
        <v>65</v>
      </c>
      <c r="R7" s="77" t="s">
        <v>66</v>
      </c>
      <c r="S7" s="77" t="s">
        <v>67</v>
      </c>
      <c r="T7" s="77" t="s">
        <v>68</v>
      </c>
      <c r="U7" s="77" t="s">
        <v>69</v>
      </c>
      <c r="V7" s="77" t="s">
        <v>70</v>
      </c>
      <c r="W7" s="77" t="s">
        <v>71</v>
      </c>
      <c r="X7" s="77" t="s">
        <v>72</v>
      </c>
      <c r="Y7" s="77" t="s">
        <v>73</v>
      </c>
      <c r="Z7" s="77" t="s">
        <v>74</v>
      </c>
      <c r="AA7" s="77" t="s">
        <v>75</v>
      </c>
      <c r="AB7" s="77" t="s">
        <v>76</v>
      </c>
      <c r="AC7" s="77" t="s">
        <v>77</v>
      </c>
      <c r="AD7" s="77" t="s">
        <v>78</v>
      </c>
      <c r="AE7" s="77" t="s">
        <v>79</v>
      </c>
      <c r="AF7" s="77" t="s">
        <v>80</v>
      </c>
      <c r="AG7" s="77" t="s">
        <v>81</v>
      </c>
      <c r="AH7" s="77" t="s">
        <v>82</v>
      </c>
      <c r="AI7" s="77" t="s">
        <v>83</v>
      </c>
      <c r="AJ7" s="77" t="s">
        <v>84</v>
      </c>
      <c r="AK7" s="77" t="s">
        <v>85</v>
      </c>
    </row>
    <row r="8" ht="13.5" customHeight="1">
      <c r="A8" s="17" t="s">
        <v>103</v>
      </c>
      <c r="B8" s="78">
        <v>1.0</v>
      </c>
      <c r="C8" s="78">
        <v>1.0</v>
      </c>
      <c r="D8" s="78">
        <v>1.0</v>
      </c>
      <c r="E8" s="78">
        <v>1.0</v>
      </c>
      <c r="F8" s="78">
        <v>1.0</v>
      </c>
      <c r="G8" s="78">
        <v>1.0</v>
      </c>
      <c r="H8" s="78">
        <v>1.0</v>
      </c>
      <c r="I8" s="78">
        <v>1.0</v>
      </c>
      <c r="J8" s="78">
        <v>1.0</v>
      </c>
      <c r="K8" s="78">
        <v>1.0</v>
      </c>
      <c r="L8" s="78">
        <v>1.0</v>
      </c>
      <c r="M8" s="78">
        <v>1.0</v>
      </c>
      <c r="N8" s="78">
        <v>1.0</v>
      </c>
      <c r="O8" s="78">
        <v>1.0</v>
      </c>
      <c r="P8" s="78">
        <v>1.0</v>
      </c>
      <c r="Q8" s="78">
        <v>1.0</v>
      </c>
      <c r="R8" s="78">
        <v>1.0</v>
      </c>
      <c r="S8" s="78">
        <v>1.0</v>
      </c>
      <c r="T8" s="78">
        <v>1.0</v>
      </c>
      <c r="U8" s="78">
        <v>1.0</v>
      </c>
      <c r="V8" s="78">
        <v>1.0</v>
      </c>
      <c r="W8" s="78">
        <v>1.0</v>
      </c>
      <c r="X8" s="78">
        <v>1.0</v>
      </c>
      <c r="Y8" s="78">
        <v>1.0</v>
      </c>
      <c r="Z8" s="78">
        <v>1.0</v>
      </c>
      <c r="AA8" s="78">
        <v>1.0</v>
      </c>
      <c r="AB8" s="78">
        <v>1.0</v>
      </c>
      <c r="AC8" s="78">
        <v>1.0</v>
      </c>
      <c r="AD8" s="78">
        <v>1.0</v>
      </c>
      <c r="AE8" s="78">
        <v>1.0</v>
      </c>
      <c r="AF8" s="78">
        <v>1.0</v>
      </c>
      <c r="AG8" s="78">
        <v>1.0</v>
      </c>
      <c r="AH8" s="78">
        <v>1.0</v>
      </c>
      <c r="AI8" s="78">
        <v>1.0</v>
      </c>
      <c r="AJ8" s="78">
        <v>1.0</v>
      </c>
      <c r="AK8" s="78">
        <v>1.0</v>
      </c>
    </row>
    <row r="9" ht="13.5" customHeight="1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ht="13.5" customHeight="1">
      <c r="A10" s="79" t="s">
        <v>104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ht="13.5" customHeight="1">
      <c r="A11" s="79" t="s">
        <v>105</v>
      </c>
      <c r="B11" s="65" t="s">
        <v>50</v>
      </c>
      <c r="C11" s="65" t="s">
        <v>51</v>
      </c>
      <c r="D11" s="65" t="s">
        <v>52</v>
      </c>
      <c r="E11" s="65" t="s">
        <v>53</v>
      </c>
      <c r="F11" s="65" t="s">
        <v>54</v>
      </c>
      <c r="G11" s="65" t="s">
        <v>55</v>
      </c>
      <c r="H11" s="65" t="s">
        <v>56</v>
      </c>
      <c r="I11" s="65" t="s">
        <v>57</v>
      </c>
      <c r="J11" s="65" t="s">
        <v>58</v>
      </c>
      <c r="K11" s="65" t="s">
        <v>59</v>
      </c>
      <c r="L11" s="65" t="s">
        <v>60</v>
      </c>
      <c r="M11" s="65" t="s">
        <v>61</v>
      </c>
      <c r="N11" s="65" t="s">
        <v>62</v>
      </c>
      <c r="O11" s="65" t="s">
        <v>63</v>
      </c>
      <c r="P11" s="65" t="s">
        <v>64</v>
      </c>
      <c r="Q11" s="65" t="s">
        <v>65</v>
      </c>
      <c r="R11" s="65" t="s">
        <v>66</v>
      </c>
      <c r="S11" s="65" t="s">
        <v>67</v>
      </c>
      <c r="T11" s="65" t="s">
        <v>68</v>
      </c>
      <c r="U11" s="65" t="s">
        <v>69</v>
      </c>
      <c r="V11" s="65" t="s">
        <v>70</v>
      </c>
      <c r="W11" s="65" t="s">
        <v>71</v>
      </c>
      <c r="X11" s="65" t="s">
        <v>72</v>
      </c>
      <c r="Y11" s="65" t="s">
        <v>73</v>
      </c>
      <c r="Z11" s="65" t="s">
        <v>74</v>
      </c>
      <c r="AA11" s="65" t="s">
        <v>75</v>
      </c>
      <c r="AB11" s="65" t="s">
        <v>76</v>
      </c>
      <c r="AC11" s="65" t="s">
        <v>77</v>
      </c>
      <c r="AD11" s="65" t="s">
        <v>78</v>
      </c>
      <c r="AE11" s="65" t="s">
        <v>79</v>
      </c>
      <c r="AF11" s="65" t="s">
        <v>80</v>
      </c>
      <c r="AG11" s="65" t="s">
        <v>81</v>
      </c>
      <c r="AH11" s="65" t="s">
        <v>82</v>
      </c>
      <c r="AI11" s="65" t="s">
        <v>83</v>
      </c>
      <c r="AJ11" s="65" t="s">
        <v>84</v>
      </c>
      <c r="AK11" s="65" t="s">
        <v>85</v>
      </c>
    </row>
    <row r="12" ht="13.5" customHeight="1">
      <c r="A12" s="27" t="s">
        <v>106</v>
      </c>
      <c r="B12" s="80">
        <f t="shared" ref="B12:AK12" si="1">B8</f>
        <v>1</v>
      </c>
      <c r="C12" s="80">
        <f t="shared" si="1"/>
        <v>1</v>
      </c>
      <c r="D12" s="80">
        <f t="shared" si="1"/>
        <v>1</v>
      </c>
      <c r="E12" s="80">
        <f t="shared" si="1"/>
        <v>1</v>
      </c>
      <c r="F12" s="80">
        <f t="shared" si="1"/>
        <v>1</v>
      </c>
      <c r="G12" s="80">
        <f t="shared" si="1"/>
        <v>1</v>
      </c>
      <c r="H12" s="80">
        <f t="shared" si="1"/>
        <v>1</v>
      </c>
      <c r="I12" s="80">
        <f t="shared" si="1"/>
        <v>1</v>
      </c>
      <c r="J12" s="80">
        <f t="shared" si="1"/>
        <v>1</v>
      </c>
      <c r="K12" s="80">
        <f t="shared" si="1"/>
        <v>1</v>
      </c>
      <c r="L12" s="80">
        <f t="shared" si="1"/>
        <v>1</v>
      </c>
      <c r="M12" s="80">
        <f t="shared" si="1"/>
        <v>1</v>
      </c>
      <c r="N12" s="80">
        <f t="shared" si="1"/>
        <v>1</v>
      </c>
      <c r="O12" s="80">
        <f t="shared" si="1"/>
        <v>1</v>
      </c>
      <c r="P12" s="80">
        <f t="shared" si="1"/>
        <v>1</v>
      </c>
      <c r="Q12" s="80">
        <f t="shared" si="1"/>
        <v>1</v>
      </c>
      <c r="R12" s="80">
        <f t="shared" si="1"/>
        <v>1</v>
      </c>
      <c r="S12" s="80">
        <f t="shared" si="1"/>
        <v>1</v>
      </c>
      <c r="T12" s="80">
        <f t="shared" si="1"/>
        <v>1</v>
      </c>
      <c r="U12" s="80">
        <f t="shared" si="1"/>
        <v>1</v>
      </c>
      <c r="V12" s="80">
        <f t="shared" si="1"/>
        <v>1</v>
      </c>
      <c r="W12" s="80">
        <f t="shared" si="1"/>
        <v>1</v>
      </c>
      <c r="X12" s="80">
        <f t="shared" si="1"/>
        <v>1</v>
      </c>
      <c r="Y12" s="80">
        <f t="shared" si="1"/>
        <v>1</v>
      </c>
      <c r="Z12" s="80">
        <f t="shared" si="1"/>
        <v>1</v>
      </c>
      <c r="AA12" s="80">
        <f t="shared" si="1"/>
        <v>1</v>
      </c>
      <c r="AB12" s="80">
        <f t="shared" si="1"/>
        <v>1</v>
      </c>
      <c r="AC12" s="80">
        <f t="shared" si="1"/>
        <v>1</v>
      </c>
      <c r="AD12" s="80">
        <f t="shared" si="1"/>
        <v>1</v>
      </c>
      <c r="AE12" s="80">
        <f t="shared" si="1"/>
        <v>1</v>
      </c>
      <c r="AF12" s="80">
        <f t="shared" si="1"/>
        <v>1</v>
      </c>
      <c r="AG12" s="80">
        <f t="shared" si="1"/>
        <v>1</v>
      </c>
      <c r="AH12" s="80">
        <f t="shared" si="1"/>
        <v>1</v>
      </c>
      <c r="AI12" s="80">
        <f t="shared" si="1"/>
        <v>1</v>
      </c>
      <c r="AJ12" s="80">
        <f t="shared" si="1"/>
        <v>1</v>
      </c>
      <c r="AK12" s="80">
        <f t="shared" si="1"/>
        <v>1</v>
      </c>
    </row>
    <row r="13" ht="13.5" customHeight="1">
      <c r="A13" s="27" t="s">
        <v>107</v>
      </c>
      <c r="B13" s="3"/>
      <c r="C13" s="80">
        <f t="shared" ref="C13:AK13" si="2">B12</f>
        <v>1</v>
      </c>
      <c r="D13" s="80">
        <f t="shared" si="2"/>
        <v>1</v>
      </c>
      <c r="E13" s="80">
        <f t="shared" si="2"/>
        <v>1</v>
      </c>
      <c r="F13" s="80">
        <f t="shared" si="2"/>
        <v>1</v>
      </c>
      <c r="G13" s="80">
        <f t="shared" si="2"/>
        <v>1</v>
      </c>
      <c r="H13" s="80">
        <f t="shared" si="2"/>
        <v>1</v>
      </c>
      <c r="I13" s="80">
        <f t="shared" si="2"/>
        <v>1</v>
      </c>
      <c r="J13" s="80">
        <f t="shared" si="2"/>
        <v>1</v>
      </c>
      <c r="K13" s="80">
        <f t="shared" si="2"/>
        <v>1</v>
      </c>
      <c r="L13" s="80">
        <f t="shared" si="2"/>
        <v>1</v>
      </c>
      <c r="M13" s="80">
        <f t="shared" si="2"/>
        <v>1</v>
      </c>
      <c r="N13" s="80">
        <f t="shared" si="2"/>
        <v>1</v>
      </c>
      <c r="O13" s="80">
        <f t="shared" si="2"/>
        <v>1</v>
      </c>
      <c r="P13" s="80">
        <f t="shared" si="2"/>
        <v>1</v>
      </c>
      <c r="Q13" s="80">
        <f t="shared" si="2"/>
        <v>1</v>
      </c>
      <c r="R13" s="80">
        <f t="shared" si="2"/>
        <v>1</v>
      </c>
      <c r="S13" s="80">
        <f t="shared" si="2"/>
        <v>1</v>
      </c>
      <c r="T13" s="80">
        <f t="shared" si="2"/>
        <v>1</v>
      </c>
      <c r="U13" s="80">
        <f t="shared" si="2"/>
        <v>1</v>
      </c>
      <c r="V13" s="80">
        <f t="shared" si="2"/>
        <v>1</v>
      </c>
      <c r="W13" s="80">
        <f t="shared" si="2"/>
        <v>1</v>
      </c>
      <c r="X13" s="80">
        <f t="shared" si="2"/>
        <v>1</v>
      </c>
      <c r="Y13" s="80">
        <f t="shared" si="2"/>
        <v>1</v>
      </c>
      <c r="Z13" s="80">
        <f t="shared" si="2"/>
        <v>1</v>
      </c>
      <c r="AA13" s="80">
        <f t="shared" si="2"/>
        <v>1</v>
      </c>
      <c r="AB13" s="80">
        <f t="shared" si="2"/>
        <v>1</v>
      </c>
      <c r="AC13" s="80">
        <f t="shared" si="2"/>
        <v>1</v>
      </c>
      <c r="AD13" s="80">
        <f t="shared" si="2"/>
        <v>1</v>
      </c>
      <c r="AE13" s="80">
        <f t="shared" si="2"/>
        <v>1</v>
      </c>
      <c r="AF13" s="80">
        <f t="shared" si="2"/>
        <v>1</v>
      </c>
      <c r="AG13" s="80">
        <f t="shared" si="2"/>
        <v>1</v>
      </c>
      <c r="AH13" s="80">
        <f t="shared" si="2"/>
        <v>1</v>
      </c>
      <c r="AI13" s="80">
        <f t="shared" si="2"/>
        <v>1</v>
      </c>
      <c r="AJ13" s="80">
        <f t="shared" si="2"/>
        <v>1</v>
      </c>
      <c r="AK13" s="80">
        <f t="shared" si="2"/>
        <v>1</v>
      </c>
    </row>
    <row r="14" ht="13.5" customHeight="1">
      <c r="A14" s="27" t="s">
        <v>108</v>
      </c>
      <c r="B14" s="3"/>
      <c r="C14" s="3"/>
      <c r="D14" s="80">
        <f t="shared" ref="D14:AK14" si="3">C13</f>
        <v>1</v>
      </c>
      <c r="E14" s="80">
        <f t="shared" si="3"/>
        <v>1</v>
      </c>
      <c r="F14" s="80">
        <f t="shared" si="3"/>
        <v>1</v>
      </c>
      <c r="G14" s="80">
        <f t="shared" si="3"/>
        <v>1</v>
      </c>
      <c r="H14" s="80">
        <f t="shared" si="3"/>
        <v>1</v>
      </c>
      <c r="I14" s="80">
        <f t="shared" si="3"/>
        <v>1</v>
      </c>
      <c r="J14" s="80">
        <f t="shared" si="3"/>
        <v>1</v>
      </c>
      <c r="K14" s="80">
        <f t="shared" si="3"/>
        <v>1</v>
      </c>
      <c r="L14" s="80">
        <f t="shared" si="3"/>
        <v>1</v>
      </c>
      <c r="M14" s="80">
        <f t="shared" si="3"/>
        <v>1</v>
      </c>
      <c r="N14" s="80">
        <f t="shared" si="3"/>
        <v>1</v>
      </c>
      <c r="O14" s="80">
        <f t="shared" si="3"/>
        <v>1</v>
      </c>
      <c r="P14" s="80">
        <f t="shared" si="3"/>
        <v>1</v>
      </c>
      <c r="Q14" s="80">
        <f t="shared" si="3"/>
        <v>1</v>
      </c>
      <c r="R14" s="80">
        <f t="shared" si="3"/>
        <v>1</v>
      </c>
      <c r="S14" s="80">
        <f t="shared" si="3"/>
        <v>1</v>
      </c>
      <c r="T14" s="80">
        <f t="shared" si="3"/>
        <v>1</v>
      </c>
      <c r="U14" s="80">
        <f t="shared" si="3"/>
        <v>1</v>
      </c>
      <c r="V14" s="80">
        <f t="shared" si="3"/>
        <v>1</v>
      </c>
      <c r="W14" s="80">
        <f t="shared" si="3"/>
        <v>1</v>
      </c>
      <c r="X14" s="80">
        <f t="shared" si="3"/>
        <v>1</v>
      </c>
      <c r="Y14" s="80">
        <f t="shared" si="3"/>
        <v>1</v>
      </c>
      <c r="Z14" s="80">
        <f t="shared" si="3"/>
        <v>1</v>
      </c>
      <c r="AA14" s="80">
        <f t="shared" si="3"/>
        <v>1</v>
      </c>
      <c r="AB14" s="80">
        <f t="shared" si="3"/>
        <v>1</v>
      </c>
      <c r="AC14" s="80">
        <f t="shared" si="3"/>
        <v>1</v>
      </c>
      <c r="AD14" s="80">
        <f t="shared" si="3"/>
        <v>1</v>
      </c>
      <c r="AE14" s="80">
        <f t="shared" si="3"/>
        <v>1</v>
      </c>
      <c r="AF14" s="80">
        <f t="shared" si="3"/>
        <v>1</v>
      </c>
      <c r="AG14" s="80">
        <f t="shared" si="3"/>
        <v>1</v>
      </c>
      <c r="AH14" s="80">
        <f t="shared" si="3"/>
        <v>1</v>
      </c>
      <c r="AI14" s="80">
        <f t="shared" si="3"/>
        <v>1</v>
      </c>
      <c r="AJ14" s="80">
        <f t="shared" si="3"/>
        <v>1</v>
      </c>
      <c r="AK14" s="80">
        <f t="shared" si="3"/>
        <v>1</v>
      </c>
    </row>
    <row r="15" ht="13.5" customHeight="1">
      <c r="A15" s="27" t="s">
        <v>109</v>
      </c>
      <c r="B15" s="3"/>
      <c r="C15" s="3"/>
      <c r="D15" s="3"/>
      <c r="E15" s="80">
        <f t="shared" ref="E15:AK15" si="4">D14</f>
        <v>1</v>
      </c>
      <c r="F15" s="80">
        <f t="shared" si="4"/>
        <v>1</v>
      </c>
      <c r="G15" s="80">
        <f t="shared" si="4"/>
        <v>1</v>
      </c>
      <c r="H15" s="80">
        <f t="shared" si="4"/>
        <v>1</v>
      </c>
      <c r="I15" s="80">
        <f t="shared" si="4"/>
        <v>1</v>
      </c>
      <c r="J15" s="80">
        <f t="shared" si="4"/>
        <v>1</v>
      </c>
      <c r="K15" s="80">
        <f t="shared" si="4"/>
        <v>1</v>
      </c>
      <c r="L15" s="80">
        <f t="shared" si="4"/>
        <v>1</v>
      </c>
      <c r="M15" s="80">
        <f t="shared" si="4"/>
        <v>1</v>
      </c>
      <c r="N15" s="80">
        <f t="shared" si="4"/>
        <v>1</v>
      </c>
      <c r="O15" s="80">
        <f t="shared" si="4"/>
        <v>1</v>
      </c>
      <c r="P15" s="80">
        <f t="shared" si="4"/>
        <v>1</v>
      </c>
      <c r="Q15" s="80">
        <f t="shared" si="4"/>
        <v>1</v>
      </c>
      <c r="R15" s="80">
        <f t="shared" si="4"/>
        <v>1</v>
      </c>
      <c r="S15" s="80">
        <f t="shared" si="4"/>
        <v>1</v>
      </c>
      <c r="T15" s="80">
        <f t="shared" si="4"/>
        <v>1</v>
      </c>
      <c r="U15" s="80">
        <f t="shared" si="4"/>
        <v>1</v>
      </c>
      <c r="V15" s="80">
        <f t="shared" si="4"/>
        <v>1</v>
      </c>
      <c r="W15" s="80">
        <f t="shared" si="4"/>
        <v>1</v>
      </c>
      <c r="X15" s="80">
        <f t="shared" si="4"/>
        <v>1</v>
      </c>
      <c r="Y15" s="80">
        <f t="shared" si="4"/>
        <v>1</v>
      </c>
      <c r="Z15" s="80">
        <f t="shared" si="4"/>
        <v>1</v>
      </c>
      <c r="AA15" s="80">
        <f t="shared" si="4"/>
        <v>1</v>
      </c>
      <c r="AB15" s="80">
        <f t="shared" si="4"/>
        <v>1</v>
      </c>
      <c r="AC15" s="80">
        <f t="shared" si="4"/>
        <v>1</v>
      </c>
      <c r="AD15" s="80">
        <f t="shared" si="4"/>
        <v>1</v>
      </c>
      <c r="AE15" s="80">
        <f t="shared" si="4"/>
        <v>1</v>
      </c>
      <c r="AF15" s="80">
        <f t="shared" si="4"/>
        <v>1</v>
      </c>
      <c r="AG15" s="80">
        <f t="shared" si="4"/>
        <v>1</v>
      </c>
      <c r="AH15" s="80">
        <f t="shared" si="4"/>
        <v>1</v>
      </c>
      <c r="AI15" s="80">
        <f t="shared" si="4"/>
        <v>1</v>
      </c>
      <c r="AJ15" s="80">
        <f t="shared" si="4"/>
        <v>1</v>
      </c>
      <c r="AK15" s="80">
        <f t="shared" si="4"/>
        <v>1</v>
      </c>
    </row>
    <row r="16" ht="13.5" customHeight="1">
      <c r="A16" s="27" t="s">
        <v>110</v>
      </c>
      <c r="B16" s="3"/>
      <c r="C16" s="3"/>
      <c r="D16" s="3"/>
      <c r="E16" s="3"/>
      <c r="F16" s="80">
        <f t="shared" ref="F16:AK16" si="5">E15</f>
        <v>1</v>
      </c>
      <c r="G16" s="80">
        <f t="shared" si="5"/>
        <v>1</v>
      </c>
      <c r="H16" s="80">
        <f t="shared" si="5"/>
        <v>1</v>
      </c>
      <c r="I16" s="80">
        <f t="shared" si="5"/>
        <v>1</v>
      </c>
      <c r="J16" s="80">
        <f t="shared" si="5"/>
        <v>1</v>
      </c>
      <c r="K16" s="80">
        <f t="shared" si="5"/>
        <v>1</v>
      </c>
      <c r="L16" s="80">
        <f t="shared" si="5"/>
        <v>1</v>
      </c>
      <c r="M16" s="80">
        <f t="shared" si="5"/>
        <v>1</v>
      </c>
      <c r="N16" s="80">
        <f t="shared" si="5"/>
        <v>1</v>
      </c>
      <c r="O16" s="80">
        <f t="shared" si="5"/>
        <v>1</v>
      </c>
      <c r="P16" s="80">
        <f t="shared" si="5"/>
        <v>1</v>
      </c>
      <c r="Q16" s="80">
        <f t="shared" si="5"/>
        <v>1</v>
      </c>
      <c r="R16" s="80">
        <f t="shared" si="5"/>
        <v>1</v>
      </c>
      <c r="S16" s="80">
        <f t="shared" si="5"/>
        <v>1</v>
      </c>
      <c r="T16" s="80">
        <f t="shared" si="5"/>
        <v>1</v>
      </c>
      <c r="U16" s="80">
        <f t="shared" si="5"/>
        <v>1</v>
      </c>
      <c r="V16" s="80">
        <f t="shared" si="5"/>
        <v>1</v>
      </c>
      <c r="W16" s="80">
        <f t="shared" si="5"/>
        <v>1</v>
      </c>
      <c r="X16" s="80">
        <f t="shared" si="5"/>
        <v>1</v>
      </c>
      <c r="Y16" s="80">
        <f t="shared" si="5"/>
        <v>1</v>
      </c>
      <c r="Z16" s="80">
        <f t="shared" si="5"/>
        <v>1</v>
      </c>
      <c r="AA16" s="80">
        <f t="shared" si="5"/>
        <v>1</v>
      </c>
      <c r="AB16" s="80">
        <f t="shared" si="5"/>
        <v>1</v>
      </c>
      <c r="AC16" s="80">
        <f t="shared" si="5"/>
        <v>1</v>
      </c>
      <c r="AD16" s="80">
        <f t="shared" si="5"/>
        <v>1</v>
      </c>
      <c r="AE16" s="80">
        <f t="shared" si="5"/>
        <v>1</v>
      </c>
      <c r="AF16" s="80">
        <f t="shared" si="5"/>
        <v>1</v>
      </c>
      <c r="AG16" s="80">
        <f t="shared" si="5"/>
        <v>1</v>
      </c>
      <c r="AH16" s="80">
        <f t="shared" si="5"/>
        <v>1</v>
      </c>
      <c r="AI16" s="80">
        <f t="shared" si="5"/>
        <v>1</v>
      </c>
      <c r="AJ16" s="80">
        <f t="shared" si="5"/>
        <v>1</v>
      </c>
      <c r="AK16" s="80">
        <f t="shared" si="5"/>
        <v>1</v>
      </c>
    </row>
    <row r="17" ht="13.5" customHeight="1">
      <c r="A17" s="27" t="s">
        <v>111</v>
      </c>
      <c r="B17" s="3"/>
      <c r="C17" s="3"/>
      <c r="D17" s="3"/>
      <c r="E17" s="3"/>
      <c r="F17" s="3"/>
      <c r="G17" s="80">
        <f t="shared" ref="G17:AK17" si="6">F16</f>
        <v>1</v>
      </c>
      <c r="H17" s="80">
        <f t="shared" si="6"/>
        <v>1</v>
      </c>
      <c r="I17" s="80">
        <f t="shared" si="6"/>
        <v>1</v>
      </c>
      <c r="J17" s="80">
        <f t="shared" si="6"/>
        <v>1</v>
      </c>
      <c r="K17" s="80">
        <f t="shared" si="6"/>
        <v>1</v>
      </c>
      <c r="L17" s="80">
        <f t="shared" si="6"/>
        <v>1</v>
      </c>
      <c r="M17" s="80">
        <f t="shared" si="6"/>
        <v>1</v>
      </c>
      <c r="N17" s="80">
        <f t="shared" si="6"/>
        <v>1</v>
      </c>
      <c r="O17" s="80">
        <f t="shared" si="6"/>
        <v>1</v>
      </c>
      <c r="P17" s="80">
        <f t="shared" si="6"/>
        <v>1</v>
      </c>
      <c r="Q17" s="80">
        <f t="shared" si="6"/>
        <v>1</v>
      </c>
      <c r="R17" s="80">
        <f t="shared" si="6"/>
        <v>1</v>
      </c>
      <c r="S17" s="80">
        <f t="shared" si="6"/>
        <v>1</v>
      </c>
      <c r="T17" s="80">
        <f t="shared" si="6"/>
        <v>1</v>
      </c>
      <c r="U17" s="80">
        <f t="shared" si="6"/>
        <v>1</v>
      </c>
      <c r="V17" s="80">
        <f t="shared" si="6"/>
        <v>1</v>
      </c>
      <c r="W17" s="80">
        <f t="shared" si="6"/>
        <v>1</v>
      </c>
      <c r="X17" s="80">
        <f t="shared" si="6"/>
        <v>1</v>
      </c>
      <c r="Y17" s="80">
        <f t="shared" si="6"/>
        <v>1</v>
      </c>
      <c r="Z17" s="80">
        <f t="shared" si="6"/>
        <v>1</v>
      </c>
      <c r="AA17" s="80">
        <f t="shared" si="6"/>
        <v>1</v>
      </c>
      <c r="AB17" s="80">
        <f t="shared" si="6"/>
        <v>1</v>
      </c>
      <c r="AC17" s="80">
        <f t="shared" si="6"/>
        <v>1</v>
      </c>
      <c r="AD17" s="80">
        <f t="shared" si="6"/>
        <v>1</v>
      </c>
      <c r="AE17" s="80">
        <f t="shared" si="6"/>
        <v>1</v>
      </c>
      <c r="AF17" s="80">
        <f t="shared" si="6"/>
        <v>1</v>
      </c>
      <c r="AG17" s="80">
        <f t="shared" si="6"/>
        <v>1</v>
      </c>
      <c r="AH17" s="80">
        <f t="shared" si="6"/>
        <v>1</v>
      </c>
      <c r="AI17" s="80">
        <f t="shared" si="6"/>
        <v>1</v>
      </c>
      <c r="AJ17" s="80">
        <f t="shared" si="6"/>
        <v>1</v>
      </c>
      <c r="AK17" s="80">
        <f t="shared" si="6"/>
        <v>1</v>
      </c>
    </row>
    <row r="18" ht="13.5" customHeight="1">
      <c r="A18" s="27" t="s">
        <v>112</v>
      </c>
      <c r="B18" s="3"/>
      <c r="C18" s="3"/>
      <c r="D18" s="3"/>
      <c r="E18" s="3"/>
      <c r="F18" s="3"/>
      <c r="G18" s="3"/>
      <c r="H18" s="80">
        <f t="shared" ref="H18:AK18" si="7">G17</f>
        <v>1</v>
      </c>
      <c r="I18" s="80">
        <f t="shared" si="7"/>
        <v>1</v>
      </c>
      <c r="J18" s="80">
        <f t="shared" si="7"/>
        <v>1</v>
      </c>
      <c r="K18" s="80">
        <f t="shared" si="7"/>
        <v>1</v>
      </c>
      <c r="L18" s="80">
        <f t="shared" si="7"/>
        <v>1</v>
      </c>
      <c r="M18" s="80">
        <f t="shared" si="7"/>
        <v>1</v>
      </c>
      <c r="N18" s="80">
        <f t="shared" si="7"/>
        <v>1</v>
      </c>
      <c r="O18" s="80">
        <f t="shared" si="7"/>
        <v>1</v>
      </c>
      <c r="P18" s="80">
        <f t="shared" si="7"/>
        <v>1</v>
      </c>
      <c r="Q18" s="80">
        <f t="shared" si="7"/>
        <v>1</v>
      </c>
      <c r="R18" s="80">
        <f t="shared" si="7"/>
        <v>1</v>
      </c>
      <c r="S18" s="80">
        <f t="shared" si="7"/>
        <v>1</v>
      </c>
      <c r="T18" s="80">
        <f t="shared" si="7"/>
        <v>1</v>
      </c>
      <c r="U18" s="80">
        <f t="shared" si="7"/>
        <v>1</v>
      </c>
      <c r="V18" s="80">
        <f t="shared" si="7"/>
        <v>1</v>
      </c>
      <c r="W18" s="80">
        <f t="shared" si="7"/>
        <v>1</v>
      </c>
      <c r="X18" s="80">
        <f t="shared" si="7"/>
        <v>1</v>
      </c>
      <c r="Y18" s="80">
        <f t="shared" si="7"/>
        <v>1</v>
      </c>
      <c r="Z18" s="80">
        <f t="shared" si="7"/>
        <v>1</v>
      </c>
      <c r="AA18" s="80">
        <f t="shared" si="7"/>
        <v>1</v>
      </c>
      <c r="AB18" s="80">
        <f t="shared" si="7"/>
        <v>1</v>
      </c>
      <c r="AC18" s="80">
        <f t="shared" si="7"/>
        <v>1</v>
      </c>
      <c r="AD18" s="80">
        <f t="shared" si="7"/>
        <v>1</v>
      </c>
      <c r="AE18" s="80">
        <f t="shared" si="7"/>
        <v>1</v>
      </c>
      <c r="AF18" s="80">
        <f t="shared" si="7"/>
        <v>1</v>
      </c>
      <c r="AG18" s="80">
        <f t="shared" si="7"/>
        <v>1</v>
      </c>
      <c r="AH18" s="80">
        <f t="shared" si="7"/>
        <v>1</v>
      </c>
      <c r="AI18" s="80">
        <f t="shared" si="7"/>
        <v>1</v>
      </c>
      <c r="AJ18" s="80">
        <f t="shared" si="7"/>
        <v>1</v>
      </c>
      <c r="AK18" s="80">
        <f t="shared" si="7"/>
        <v>1</v>
      </c>
    </row>
    <row r="19" ht="13.5" customHeight="1">
      <c r="A19" s="27" t="s">
        <v>109</v>
      </c>
      <c r="B19" s="3"/>
      <c r="C19" s="3"/>
      <c r="D19" s="3"/>
      <c r="E19" s="3"/>
      <c r="F19" s="3"/>
      <c r="G19" s="3"/>
      <c r="H19" s="3"/>
      <c r="I19" s="80">
        <f t="shared" ref="I19:AK19" si="8">H18</f>
        <v>1</v>
      </c>
      <c r="J19" s="80">
        <f t="shared" si="8"/>
        <v>1</v>
      </c>
      <c r="K19" s="80">
        <f t="shared" si="8"/>
        <v>1</v>
      </c>
      <c r="L19" s="80">
        <f t="shared" si="8"/>
        <v>1</v>
      </c>
      <c r="M19" s="80">
        <f t="shared" si="8"/>
        <v>1</v>
      </c>
      <c r="N19" s="80">
        <f t="shared" si="8"/>
        <v>1</v>
      </c>
      <c r="O19" s="80">
        <f t="shared" si="8"/>
        <v>1</v>
      </c>
      <c r="P19" s="80">
        <f t="shared" si="8"/>
        <v>1</v>
      </c>
      <c r="Q19" s="80">
        <f t="shared" si="8"/>
        <v>1</v>
      </c>
      <c r="R19" s="80">
        <f t="shared" si="8"/>
        <v>1</v>
      </c>
      <c r="S19" s="80">
        <f t="shared" si="8"/>
        <v>1</v>
      </c>
      <c r="T19" s="80">
        <f t="shared" si="8"/>
        <v>1</v>
      </c>
      <c r="U19" s="80">
        <f t="shared" si="8"/>
        <v>1</v>
      </c>
      <c r="V19" s="80">
        <f t="shared" si="8"/>
        <v>1</v>
      </c>
      <c r="W19" s="80">
        <f t="shared" si="8"/>
        <v>1</v>
      </c>
      <c r="X19" s="80">
        <f t="shared" si="8"/>
        <v>1</v>
      </c>
      <c r="Y19" s="80">
        <f t="shared" si="8"/>
        <v>1</v>
      </c>
      <c r="Z19" s="80">
        <f t="shared" si="8"/>
        <v>1</v>
      </c>
      <c r="AA19" s="80">
        <f t="shared" si="8"/>
        <v>1</v>
      </c>
      <c r="AB19" s="80">
        <f t="shared" si="8"/>
        <v>1</v>
      </c>
      <c r="AC19" s="80">
        <f t="shared" si="8"/>
        <v>1</v>
      </c>
      <c r="AD19" s="80">
        <f t="shared" si="8"/>
        <v>1</v>
      </c>
      <c r="AE19" s="80">
        <f t="shared" si="8"/>
        <v>1</v>
      </c>
      <c r="AF19" s="80">
        <f t="shared" si="8"/>
        <v>1</v>
      </c>
      <c r="AG19" s="80">
        <f t="shared" si="8"/>
        <v>1</v>
      </c>
      <c r="AH19" s="80">
        <f t="shared" si="8"/>
        <v>1</v>
      </c>
      <c r="AI19" s="80">
        <f t="shared" si="8"/>
        <v>1</v>
      </c>
      <c r="AJ19" s="80">
        <f t="shared" si="8"/>
        <v>1</v>
      </c>
      <c r="AK19" s="80">
        <f t="shared" si="8"/>
        <v>1</v>
      </c>
    </row>
    <row r="20" ht="13.5" customHeight="1">
      <c r="A20" s="27" t="s">
        <v>109</v>
      </c>
      <c r="B20" s="3"/>
      <c r="C20" s="3"/>
      <c r="D20" s="3"/>
      <c r="E20" s="3"/>
      <c r="F20" s="3"/>
      <c r="G20" s="3"/>
      <c r="H20" s="3"/>
      <c r="I20" s="3"/>
      <c r="J20" s="80">
        <f t="shared" ref="J20:AK20" si="9">I19</f>
        <v>1</v>
      </c>
      <c r="K20" s="80">
        <f t="shared" si="9"/>
        <v>1</v>
      </c>
      <c r="L20" s="80">
        <f t="shared" si="9"/>
        <v>1</v>
      </c>
      <c r="M20" s="80">
        <f t="shared" si="9"/>
        <v>1</v>
      </c>
      <c r="N20" s="80">
        <f t="shared" si="9"/>
        <v>1</v>
      </c>
      <c r="O20" s="80">
        <f t="shared" si="9"/>
        <v>1</v>
      </c>
      <c r="P20" s="80">
        <f t="shared" si="9"/>
        <v>1</v>
      </c>
      <c r="Q20" s="80">
        <f t="shared" si="9"/>
        <v>1</v>
      </c>
      <c r="R20" s="80">
        <f t="shared" si="9"/>
        <v>1</v>
      </c>
      <c r="S20" s="80">
        <f t="shared" si="9"/>
        <v>1</v>
      </c>
      <c r="T20" s="80">
        <f t="shared" si="9"/>
        <v>1</v>
      </c>
      <c r="U20" s="80">
        <f t="shared" si="9"/>
        <v>1</v>
      </c>
      <c r="V20" s="80">
        <f t="shared" si="9"/>
        <v>1</v>
      </c>
      <c r="W20" s="80">
        <f t="shared" si="9"/>
        <v>1</v>
      </c>
      <c r="X20" s="80">
        <f t="shared" si="9"/>
        <v>1</v>
      </c>
      <c r="Y20" s="80">
        <f t="shared" si="9"/>
        <v>1</v>
      </c>
      <c r="Z20" s="80">
        <f t="shared" si="9"/>
        <v>1</v>
      </c>
      <c r="AA20" s="80">
        <f t="shared" si="9"/>
        <v>1</v>
      </c>
      <c r="AB20" s="80">
        <f t="shared" si="9"/>
        <v>1</v>
      </c>
      <c r="AC20" s="80">
        <f t="shared" si="9"/>
        <v>1</v>
      </c>
      <c r="AD20" s="80">
        <f t="shared" si="9"/>
        <v>1</v>
      </c>
      <c r="AE20" s="80">
        <f t="shared" si="9"/>
        <v>1</v>
      </c>
      <c r="AF20" s="80">
        <f t="shared" si="9"/>
        <v>1</v>
      </c>
      <c r="AG20" s="80">
        <f t="shared" si="9"/>
        <v>1</v>
      </c>
      <c r="AH20" s="80">
        <f t="shared" si="9"/>
        <v>1</v>
      </c>
      <c r="AI20" s="80">
        <f t="shared" si="9"/>
        <v>1</v>
      </c>
      <c r="AJ20" s="80">
        <f t="shared" si="9"/>
        <v>1</v>
      </c>
      <c r="AK20" s="80">
        <f t="shared" si="9"/>
        <v>1</v>
      </c>
    </row>
    <row r="21" ht="13.5" customHeight="1">
      <c r="A21" s="70" t="s">
        <v>113</v>
      </c>
      <c r="B21" s="81"/>
      <c r="C21" s="81"/>
      <c r="D21" s="81"/>
      <c r="E21" s="81"/>
      <c r="F21" s="81"/>
      <c r="G21" s="81"/>
      <c r="H21" s="81"/>
      <c r="I21" s="81"/>
      <c r="J21" s="81"/>
      <c r="K21" s="82">
        <f>J20</f>
        <v>1</v>
      </c>
      <c r="L21" s="82">
        <f t="shared" ref="L21:AK21" si="10">K21+K20</f>
        <v>2</v>
      </c>
      <c r="M21" s="82">
        <f t="shared" si="10"/>
        <v>3</v>
      </c>
      <c r="N21" s="82">
        <f t="shared" si="10"/>
        <v>4</v>
      </c>
      <c r="O21" s="82">
        <f t="shared" si="10"/>
        <v>5</v>
      </c>
      <c r="P21" s="82">
        <f t="shared" si="10"/>
        <v>6</v>
      </c>
      <c r="Q21" s="82">
        <f t="shared" si="10"/>
        <v>7</v>
      </c>
      <c r="R21" s="82">
        <f t="shared" si="10"/>
        <v>8</v>
      </c>
      <c r="S21" s="82">
        <f t="shared" si="10"/>
        <v>9</v>
      </c>
      <c r="T21" s="82">
        <f t="shared" si="10"/>
        <v>10</v>
      </c>
      <c r="U21" s="82">
        <f t="shared" si="10"/>
        <v>11</v>
      </c>
      <c r="V21" s="82">
        <f t="shared" si="10"/>
        <v>12</v>
      </c>
      <c r="W21" s="82">
        <f t="shared" si="10"/>
        <v>13</v>
      </c>
      <c r="X21" s="82">
        <f t="shared" si="10"/>
        <v>14</v>
      </c>
      <c r="Y21" s="82">
        <f t="shared" si="10"/>
        <v>15</v>
      </c>
      <c r="Z21" s="82">
        <f t="shared" si="10"/>
        <v>16</v>
      </c>
      <c r="AA21" s="82">
        <f t="shared" si="10"/>
        <v>17</v>
      </c>
      <c r="AB21" s="82">
        <f t="shared" si="10"/>
        <v>18</v>
      </c>
      <c r="AC21" s="82">
        <f t="shared" si="10"/>
        <v>19</v>
      </c>
      <c r="AD21" s="82">
        <f t="shared" si="10"/>
        <v>20</v>
      </c>
      <c r="AE21" s="82">
        <f t="shared" si="10"/>
        <v>21</v>
      </c>
      <c r="AF21" s="82">
        <f t="shared" si="10"/>
        <v>22</v>
      </c>
      <c r="AG21" s="82">
        <f t="shared" si="10"/>
        <v>23</v>
      </c>
      <c r="AH21" s="82">
        <f t="shared" si="10"/>
        <v>24</v>
      </c>
      <c r="AI21" s="82">
        <f t="shared" si="10"/>
        <v>25</v>
      </c>
      <c r="AJ21" s="82">
        <f t="shared" si="10"/>
        <v>26</v>
      </c>
      <c r="AK21" s="82">
        <f t="shared" si="10"/>
        <v>27</v>
      </c>
    </row>
    <row r="22" ht="15.0" customHeight="1">
      <c r="A22" s="72" t="s">
        <v>114</v>
      </c>
      <c r="B22" s="83">
        <f t="shared" ref="B22:AK22" si="11">SUM(B12:B21)</f>
        <v>1</v>
      </c>
      <c r="C22" s="83">
        <f t="shared" si="11"/>
        <v>2</v>
      </c>
      <c r="D22" s="83">
        <f t="shared" si="11"/>
        <v>3</v>
      </c>
      <c r="E22" s="83">
        <f t="shared" si="11"/>
        <v>4</v>
      </c>
      <c r="F22" s="83">
        <f t="shared" si="11"/>
        <v>5</v>
      </c>
      <c r="G22" s="83">
        <f t="shared" si="11"/>
        <v>6</v>
      </c>
      <c r="H22" s="83">
        <f t="shared" si="11"/>
        <v>7</v>
      </c>
      <c r="I22" s="83">
        <f t="shared" si="11"/>
        <v>8</v>
      </c>
      <c r="J22" s="83">
        <f t="shared" si="11"/>
        <v>9</v>
      </c>
      <c r="K22" s="83">
        <f t="shared" si="11"/>
        <v>10</v>
      </c>
      <c r="L22" s="83">
        <f t="shared" si="11"/>
        <v>11</v>
      </c>
      <c r="M22" s="83">
        <f t="shared" si="11"/>
        <v>12</v>
      </c>
      <c r="N22" s="83">
        <f t="shared" si="11"/>
        <v>13</v>
      </c>
      <c r="O22" s="83">
        <f t="shared" si="11"/>
        <v>14</v>
      </c>
      <c r="P22" s="83">
        <f t="shared" si="11"/>
        <v>15</v>
      </c>
      <c r="Q22" s="83">
        <f t="shared" si="11"/>
        <v>16</v>
      </c>
      <c r="R22" s="83">
        <f t="shared" si="11"/>
        <v>17</v>
      </c>
      <c r="S22" s="83">
        <f t="shared" si="11"/>
        <v>18</v>
      </c>
      <c r="T22" s="83">
        <f t="shared" si="11"/>
        <v>19</v>
      </c>
      <c r="U22" s="83">
        <f t="shared" si="11"/>
        <v>20</v>
      </c>
      <c r="V22" s="83">
        <f t="shared" si="11"/>
        <v>21</v>
      </c>
      <c r="W22" s="83">
        <f t="shared" si="11"/>
        <v>22</v>
      </c>
      <c r="X22" s="83">
        <f t="shared" si="11"/>
        <v>23</v>
      </c>
      <c r="Y22" s="83">
        <f t="shared" si="11"/>
        <v>24</v>
      </c>
      <c r="Z22" s="83">
        <f t="shared" si="11"/>
        <v>25</v>
      </c>
      <c r="AA22" s="83">
        <f t="shared" si="11"/>
        <v>26</v>
      </c>
      <c r="AB22" s="83">
        <f t="shared" si="11"/>
        <v>27</v>
      </c>
      <c r="AC22" s="83">
        <f t="shared" si="11"/>
        <v>28</v>
      </c>
      <c r="AD22" s="83">
        <f t="shared" si="11"/>
        <v>29</v>
      </c>
      <c r="AE22" s="83">
        <f t="shared" si="11"/>
        <v>30</v>
      </c>
      <c r="AF22" s="83">
        <f t="shared" si="11"/>
        <v>31</v>
      </c>
      <c r="AG22" s="83">
        <f t="shared" si="11"/>
        <v>32</v>
      </c>
      <c r="AH22" s="83">
        <f t="shared" si="11"/>
        <v>33</v>
      </c>
      <c r="AI22" s="83">
        <f t="shared" si="11"/>
        <v>34</v>
      </c>
      <c r="AJ22" s="83">
        <f t="shared" si="11"/>
        <v>35</v>
      </c>
      <c r="AK22" s="83">
        <f t="shared" si="11"/>
        <v>36</v>
      </c>
    </row>
    <row r="23" ht="15.0" customHeight="1">
      <c r="A23" s="74" t="s">
        <v>115</v>
      </c>
      <c r="B23" s="84">
        <f>B27*(1+'Sales Ramp'!$B$11)/'Sales Ramp'!$B$23*'Sales Ramp'!$B$25</f>
        <v>6.788194444</v>
      </c>
      <c r="C23" s="84">
        <f>C27*(1+'Sales Ramp'!$B$11)/'Sales Ramp'!$B$23*'Sales Ramp'!$B$25</f>
        <v>29.18923611</v>
      </c>
      <c r="D23" s="84">
        <f>D27*(1+'Sales Ramp'!$B$11)/'Sales Ramp'!$B$23*'Sales Ramp'!$B$25</f>
        <v>73.99131944</v>
      </c>
      <c r="E23" s="84">
        <f>E27*(1+'Sales Ramp'!$B$11)/'Sales Ramp'!$B$23*'Sales Ramp'!$B$25</f>
        <v>141.8732639</v>
      </c>
      <c r="F23" s="84">
        <f>F27*(1+'Sales Ramp'!$B$11)/'Sales Ramp'!$B$23*'Sales Ramp'!$B$25</f>
        <v>209.7552083</v>
      </c>
      <c r="G23" s="84">
        <f>G27*(1+'Sales Ramp'!$B$11)/'Sales Ramp'!$B$23*'Sales Ramp'!$B$25</f>
        <v>277.6371528</v>
      </c>
      <c r="H23" s="84">
        <f>H27*(1+'Sales Ramp'!$B$11)/'Sales Ramp'!$B$23*'Sales Ramp'!$B$25</f>
        <v>345.5190972</v>
      </c>
      <c r="I23" s="84">
        <f>I27*(1+'Sales Ramp'!$B$11)/'Sales Ramp'!$B$23*'Sales Ramp'!$B$25</f>
        <v>413.4010417</v>
      </c>
      <c r="J23" s="84">
        <f>J27*(1+'Sales Ramp'!$B$11)/'Sales Ramp'!$B$23*'Sales Ramp'!$B$25</f>
        <v>481.2829861</v>
      </c>
      <c r="K23" s="84">
        <f>K27*(1+'Sales Ramp'!$B$11)/'Sales Ramp'!$B$23*'Sales Ramp'!$B$25</f>
        <v>549.1649306</v>
      </c>
      <c r="L23" s="84">
        <f>L27*(1+'Sales Ramp'!$B$11)/'Sales Ramp'!$B$23*'Sales Ramp'!$B$25</f>
        <v>617.046875</v>
      </c>
      <c r="M23" s="84">
        <f>M27*(1+'Sales Ramp'!$B$11)/'Sales Ramp'!$B$23*'Sales Ramp'!$B$25</f>
        <v>684.9288194</v>
      </c>
      <c r="N23" s="84">
        <f>N27*(1+'Sales Ramp'!$B$11)/'Sales Ramp'!$B$23*'Sales Ramp'!$B$25</f>
        <v>752.8107639</v>
      </c>
      <c r="O23" s="84">
        <f>O27*(1+'Sales Ramp'!$B$11)/'Sales Ramp'!$B$23*'Sales Ramp'!$B$25</f>
        <v>820.6927083</v>
      </c>
      <c r="P23" s="84">
        <f>P27*(1+'Sales Ramp'!$B$11)/'Sales Ramp'!$B$23*'Sales Ramp'!$B$25</f>
        <v>888.5746528</v>
      </c>
      <c r="Q23" s="84">
        <f>Q27*(1+'Sales Ramp'!$B$11)/'Sales Ramp'!$B$23*'Sales Ramp'!$B$25</f>
        <v>956.4565972</v>
      </c>
      <c r="R23" s="84">
        <f>R27*(1+'Sales Ramp'!$B$11)/'Sales Ramp'!$B$23*'Sales Ramp'!$B$25</f>
        <v>1024.338542</v>
      </c>
      <c r="S23" s="84">
        <f>S27*(1+'Sales Ramp'!$B$11)/'Sales Ramp'!$B$23*'Sales Ramp'!$B$25</f>
        <v>1092.220486</v>
      </c>
      <c r="T23" s="84">
        <f>T27*(1+'Sales Ramp'!$B$11)/'Sales Ramp'!$B$23*'Sales Ramp'!$B$25</f>
        <v>1160.102431</v>
      </c>
      <c r="U23" s="84">
        <f>U27*(1+'Sales Ramp'!$B$11)/'Sales Ramp'!$B$23*'Sales Ramp'!$B$25</f>
        <v>1227.984375</v>
      </c>
      <c r="V23" s="84">
        <f>V27*(1+'Sales Ramp'!$B$11)/'Sales Ramp'!$B$23*'Sales Ramp'!$B$25</f>
        <v>1295.866319</v>
      </c>
      <c r="W23" s="84">
        <f>W27*(1+'Sales Ramp'!$B$11)/'Sales Ramp'!$B$23*'Sales Ramp'!$B$25</f>
        <v>1363.748264</v>
      </c>
      <c r="X23" s="84">
        <f>X27*(1+'Sales Ramp'!$B$11)/'Sales Ramp'!$B$23*'Sales Ramp'!$B$25</f>
        <v>1431.630208</v>
      </c>
      <c r="Y23" s="84">
        <f>Y27*(1+'Sales Ramp'!$B$11)/'Sales Ramp'!$B$23*'Sales Ramp'!$B$25</f>
        <v>1499.512153</v>
      </c>
      <c r="Z23" s="84">
        <f>Z27*(1+'Sales Ramp'!$B$11)/'Sales Ramp'!$B$23*'Sales Ramp'!$B$25</f>
        <v>1567.394097</v>
      </c>
      <c r="AA23" s="84">
        <f>AA27*(1+'Sales Ramp'!$B$11)/'Sales Ramp'!$B$23*'Sales Ramp'!$B$25</f>
        <v>1635.276042</v>
      </c>
      <c r="AB23" s="84">
        <f>AB27*(1+'Sales Ramp'!$B$11)/'Sales Ramp'!$B$23*'Sales Ramp'!$B$25</f>
        <v>1703.157986</v>
      </c>
      <c r="AC23" s="84">
        <f>AC27*(1+'Sales Ramp'!$B$11)/'Sales Ramp'!$B$23*'Sales Ramp'!$B$25</f>
        <v>1771.039931</v>
      </c>
      <c r="AD23" s="84">
        <f>AD27*(1+'Sales Ramp'!$B$11)/'Sales Ramp'!$B$23*'Sales Ramp'!$B$25</f>
        <v>1838.921875</v>
      </c>
      <c r="AE23" s="84">
        <f>AE27*(1+'Sales Ramp'!$B$11)/'Sales Ramp'!$B$23*'Sales Ramp'!$B$25</f>
        <v>1906.803819</v>
      </c>
      <c r="AF23" s="84">
        <f>AF27*(1+'Sales Ramp'!$B$11)/'Sales Ramp'!$B$23*'Sales Ramp'!$B$25</f>
        <v>1974.685764</v>
      </c>
      <c r="AG23" s="84">
        <f>AG27*(1+'Sales Ramp'!$B$11)/'Sales Ramp'!$B$23*'Sales Ramp'!$B$25</f>
        <v>2042.567708</v>
      </c>
      <c r="AH23" s="84">
        <f>AH27*(1+'Sales Ramp'!$B$11)/'Sales Ramp'!$B$23*'Sales Ramp'!$B$25</f>
        <v>2110.449653</v>
      </c>
      <c r="AI23" s="84">
        <f>AI27*(1+'Sales Ramp'!$B$11)/'Sales Ramp'!$B$23*'Sales Ramp'!$B$25</f>
        <v>2178.331597</v>
      </c>
      <c r="AJ23" s="84">
        <f>AJ27*(1+'Sales Ramp'!$B$11)/'Sales Ramp'!$B$23*'Sales Ramp'!$B$25</f>
        <v>2246.213542</v>
      </c>
      <c r="AK23" s="84">
        <f>AK27*(1+'Sales Ramp'!$B$11)/'Sales Ramp'!$B$23*'Sales Ramp'!$B$25</f>
        <v>2314.095486</v>
      </c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ht="16.5" customHeight="1">
      <c r="A26" s="64" t="s">
        <v>49</v>
      </c>
      <c r="B26" s="65" t="s">
        <v>50</v>
      </c>
      <c r="C26" s="65" t="s">
        <v>51</v>
      </c>
      <c r="D26" s="65" t="s">
        <v>52</v>
      </c>
      <c r="E26" s="65" t="s">
        <v>53</v>
      </c>
      <c r="F26" s="65" t="s">
        <v>54</v>
      </c>
      <c r="G26" s="65" t="s">
        <v>55</v>
      </c>
      <c r="H26" s="65" t="s">
        <v>56</v>
      </c>
      <c r="I26" s="65" t="s">
        <v>57</v>
      </c>
      <c r="J26" s="65" t="s">
        <v>58</v>
      </c>
      <c r="K26" s="65" t="s">
        <v>59</v>
      </c>
      <c r="L26" s="65" t="s">
        <v>60</v>
      </c>
      <c r="M26" s="65" t="s">
        <v>61</v>
      </c>
      <c r="N26" s="65" t="s">
        <v>62</v>
      </c>
      <c r="O26" s="65" t="s">
        <v>63</v>
      </c>
      <c r="P26" s="65" t="s">
        <v>64</v>
      </c>
      <c r="Q26" s="65" t="s">
        <v>65</v>
      </c>
      <c r="R26" s="65" t="s">
        <v>66</v>
      </c>
      <c r="S26" s="65" t="s">
        <v>67</v>
      </c>
      <c r="T26" s="65" t="s">
        <v>68</v>
      </c>
      <c r="U26" s="65" t="s">
        <v>69</v>
      </c>
      <c r="V26" s="65" t="s">
        <v>70</v>
      </c>
      <c r="W26" s="65" t="s">
        <v>71</v>
      </c>
      <c r="X26" s="65" t="s">
        <v>72</v>
      </c>
      <c r="Y26" s="65" t="s">
        <v>73</v>
      </c>
      <c r="Z26" s="65" t="s">
        <v>74</v>
      </c>
      <c r="AA26" s="65" t="s">
        <v>75</v>
      </c>
      <c r="AB26" s="65" t="s">
        <v>76</v>
      </c>
      <c r="AC26" s="65" t="s">
        <v>77</v>
      </c>
      <c r="AD26" s="65" t="s">
        <v>78</v>
      </c>
      <c r="AE26" s="65" t="s">
        <v>79</v>
      </c>
      <c r="AF26" s="65" t="s">
        <v>80</v>
      </c>
      <c r="AG26" s="65" t="s">
        <v>81</v>
      </c>
      <c r="AH26" s="65" t="s">
        <v>82</v>
      </c>
      <c r="AI26" s="65" t="s">
        <v>83</v>
      </c>
      <c r="AJ26" s="65" t="s">
        <v>84</v>
      </c>
      <c r="AK26" s="65" t="s">
        <v>85</v>
      </c>
    </row>
    <row r="27" ht="15.0" customHeight="1">
      <c r="A27" s="66" t="s">
        <v>86</v>
      </c>
      <c r="B27" s="29">
        <f>B$12*'Sales Ramp'!$B39+B$13*'Sales Ramp'!$C39+B$14*'Sales Ramp'!$D39+B$15*'Sales Ramp'!$E39+B$16*'Sales Ramp'!$F39+B$17*'Sales Ramp'!$G39+B$18*'Sales Ramp'!$H39+B$19*'Sales Ramp'!$I39+B$20*'Sales Ramp'!$J39+B$21*'Sales Ramp'!$K39</f>
        <v>3541.666667</v>
      </c>
      <c r="C27" s="29">
        <f>C$12*'Sales Ramp'!$B39+C$13*'Sales Ramp'!$C39+C$14*'Sales Ramp'!$D39+C$15*'Sales Ramp'!$E39+C$16*'Sales Ramp'!$F39+C$17*'Sales Ramp'!$G39+C$18*'Sales Ramp'!$H39+C$19*'Sales Ramp'!$I39+C$20*'Sales Ramp'!$J39+C$21*'Sales Ramp'!$K39</f>
        <v>15229.16667</v>
      </c>
      <c r="D27" s="29">
        <f>D$12*'Sales Ramp'!$B39+D$13*'Sales Ramp'!$C39+D$14*'Sales Ramp'!$D39+D$15*'Sales Ramp'!$E39+D$16*'Sales Ramp'!$F39+D$17*'Sales Ramp'!$G39+D$18*'Sales Ramp'!$H39+D$19*'Sales Ramp'!$I39+D$20*'Sales Ramp'!$J39+D$21*'Sales Ramp'!$K39</f>
        <v>38604.16667</v>
      </c>
      <c r="E27" s="29">
        <f>E$12*'Sales Ramp'!$B39+E$13*'Sales Ramp'!$C39+E$14*'Sales Ramp'!$D39+E$15*'Sales Ramp'!$E39+E$16*'Sales Ramp'!$F39+E$17*'Sales Ramp'!$G39+E$18*'Sales Ramp'!$H39+E$19*'Sales Ramp'!$I39+E$20*'Sales Ramp'!$J39+E$21*'Sales Ramp'!$K39</f>
        <v>74020.83333</v>
      </c>
      <c r="F27" s="29">
        <f>F$12*'Sales Ramp'!$B39+F$13*'Sales Ramp'!$C39+F$14*'Sales Ramp'!$D39+F$15*'Sales Ramp'!$E39+F$16*'Sales Ramp'!$F39+F$17*'Sales Ramp'!$G39+F$18*'Sales Ramp'!$H39+F$19*'Sales Ramp'!$I39+F$20*'Sales Ramp'!$J39+F$21*'Sales Ramp'!$K39</f>
        <v>109437.5</v>
      </c>
      <c r="G27" s="29">
        <f>G$12*'Sales Ramp'!$B39+G$13*'Sales Ramp'!$C39+G$14*'Sales Ramp'!$D39+G$15*'Sales Ramp'!$E39+G$16*'Sales Ramp'!$F39+G$17*'Sales Ramp'!$G39+G$18*'Sales Ramp'!$H39+G$19*'Sales Ramp'!$I39+G$20*'Sales Ramp'!$J39+G$21*'Sales Ramp'!$K39</f>
        <v>144854.1667</v>
      </c>
      <c r="H27" s="29">
        <f>H$12*'Sales Ramp'!$B39+H$13*'Sales Ramp'!$C39+H$14*'Sales Ramp'!$D39+H$15*'Sales Ramp'!$E39+H$16*'Sales Ramp'!$F39+H$17*'Sales Ramp'!$G39+H$18*'Sales Ramp'!$H39+H$19*'Sales Ramp'!$I39+H$20*'Sales Ramp'!$J39+H$21*'Sales Ramp'!$K39</f>
        <v>180270.8333</v>
      </c>
      <c r="I27" s="29">
        <f>I$12*'Sales Ramp'!$B39+I$13*'Sales Ramp'!$C39+I$14*'Sales Ramp'!$D39+I$15*'Sales Ramp'!$E39+I$16*'Sales Ramp'!$F39+I$17*'Sales Ramp'!$G39+I$18*'Sales Ramp'!$H39+I$19*'Sales Ramp'!$I39+I$20*'Sales Ramp'!$J39+I$21*'Sales Ramp'!$K39</f>
        <v>215687.5</v>
      </c>
      <c r="J27" s="29">
        <f>J$12*'Sales Ramp'!$B39+J$13*'Sales Ramp'!$C39+J$14*'Sales Ramp'!$D39+J$15*'Sales Ramp'!$E39+J$16*'Sales Ramp'!$F39+J$17*'Sales Ramp'!$G39+J$18*'Sales Ramp'!$H39+J$19*'Sales Ramp'!$I39+J$20*'Sales Ramp'!$J39+J$21*'Sales Ramp'!$K39</f>
        <v>251104.1667</v>
      </c>
      <c r="K27" s="29">
        <f>K$12*'Sales Ramp'!$B39+K$13*'Sales Ramp'!$C39+K$14*'Sales Ramp'!$D39+K$15*'Sales Ramp'!$E39+K$16*'Sales Ramp'!$F39+K$17*'Sales Ramp'!$G39+K$18*'Sales Ramp'!$H39+K$19*'Sales Ramp'!$I39+K$20*'Sales Ramp'!$J39+K$21*'Sales Ramp'!$K39</f>
        <v>286520.8333</v>
      </c>
      <c r="L27" s="29">
        <f>L$12*'Sales Ramp'!$B39+L$13*'Sales Ramp'!$C39+L$14*'Sales Ramp'!$D39+L$15*'Sales Ramp'!$E39+L$16*'Sales Ramp'!$F39+L$17*'Sales Ramp'!$G39+L$18*'Sales Ramp'!$H39+L$19*'Sales Ramp'!$I39+L$20*'Sales Ramp'!$J39+L$21*'Sales Ramp'!$K39</f>
        <v>321937.5</v>
      </c>
      <c r="M27" s="29">
        <f>M$12*'Sales Ramp'!$B39+M$13*'Sales Ramp'!$C39+M$14*'Sales Ramp'!$D39+M$15*'Sales Ramp'!$E39+M$16*'Sales Ramp'!$F39+M$17*'Sales Ramp'!$G39+M$18*'Sales Ramp'!$H39+M$19*'Sales Ramp'!$I39+M$20*'Sales Ramp'!$J39+M$21*'Sales Ramp'!$K39</f>
        <v>357354.1667</v>
      </c>
      <c r="N27" s="29">
        <f>N$12*'Sales Ramp'!$B39+N$13*'Sales Ramp'!$C39+N$14*'Sales Ramp'!$D39+N$15*'Sales Ramp'!$E39+N$16*'Sales Ramp'!$F39+N$17*'Sales Ramp'!$G39+N$18*'Sales Ramp'!$H39+N$19*'Sales Ramp'!$I39+N$20*'Sales Ramp'!$J39+N$21*'Sales Ramp'!$K39</f>
        <v>392770.8333</v>
      </c>
      <c r="O27" s="29">
        <f>O$12*'Sales Ramp'!$B39+O$13*'Sales Ramp'!$C39+O$14*'Sales Ramp'!$D39+O$15*'Sales Ramp'!$E39+O$16*'Sales Ramp'!$F39+O$17*'Sales Ramp'!$G39+O$18*'Sales Ramp'!$H39+O$19*'Sales Ramp'!$I39+O$20*'Sales Ramp'!$J39+O$21*'Sales Ramp'!$K39</f>
        <v>428187.5</v>
      </c>
      <c r="P27" s="29">
        <f>P$12*'Sales Ramp'!$B39+P$13*'Sales Ramp'!$C39+P$14*'Sales Ramp'!$D39+P$15*'Sales Ramp'!$E39+P$16*'Sales Ramp'!$F39+P$17*'Sales Ramp'!$G39+P$18*'Sales Ramp'!$H39+P$19*'Sales Ramp'!$I39+P$20*'Sales Ramp'!$J39+P$21*'Sales Ramp'!$K39</f>
        <v>463604.1667</v>
      </c>
      <c r="Q27" s="29">
        <f>Q$12*'Sales Ramp'!$B39+Q$13*'Sales Ramp'!$C39+Q$14*'Sales Ramp'!$D39+Q$15*'Sales Ramp'!$E39+Q$16*'Sales Ramp'!$F39+Q$17*'Sales Ramp'!$G39+Q$18*'Sales Ramp'!$H39+Q$19*'Sales Ramp'!$I39+Q$20*'Sales Ramp'!$J39+Q$21*'Sales Ramp'!$K39</f>
        <v>499020.8333</v>
      </c>
      <c r="R27" s="29">
        <f>R$12*'Sales Ramp'!$B39+R$13*'Sales Ramp'!$C39+R$14*'Sales Ramp'!$D39+R$15*'Sales Ramp'!$E39+R$16*'Sales Ramp'!$F39+R$17*'Sales Ramp'!$G39+R$18*'Sales Ramp'!$H39+R$19*'Sales Ramp'!$I39+R$20*'Sales Ramp'!$J39+R$21*'Sales Ramp'!$K39</f>
        <v>534437.5</v>
      </c>
      <c r="S27" s="29">
        <f>S$12*'Sales Ramp'!$B39+S$13*'Sales Ramp'!$C39+S$14*'Sales Ramp'!$D39+S$15*'Sales Ramp'!$E39+S$16*'Sales Ramp'!$F39+S$17*'Sales Ramp'!$G39+S$18*'Sales Ramp'!$H39+S$19*'Sales Ramp'!$I39+S$20*'Sales Ramp'!$J39+S$21*'Sales Ramp'!$K39</f>
        <v>569854.1667</v>
      </c>
      <c r="T27" s="29">
        <f>T$12*'Sales Ramp'!$B39+T$13*'Sales Ramp'!$C39+T$14*'Sales Ramp'!$D39+T$15*'Sales Ramp'!$E39+T$16*'Sales Ramp'!$F39+T$17*'Sales Ramp'!$G39+T$18*'Sales Ramp'!$H39+T$19*'Sales Ramp'!$I39+T$20*'Sales Ramp'!$J39+T$21*'Sales Ramp'!$K39</f>
        <v>605270.8333</v>
      </c>
      <c r="U27" s="29">
        <f>U$12*'Sales Ramp'!$B39+U$13*'Sales Ramp'!$C39+U$14*'Sales Ramp'!$D39+U$15*'Sales Ramp'!$E39+U$16*'Sales Ramp'!$F39+U$17*'Sales Ramp'!$G39+U$18*'Sales Ramp'!$H39+U$19*'Sales Ramp'!$I39+U$20*'Sales Ramp'!$J39+U$21*'Sales Ramp'!$K39</f>
        <v>640687.5</v>
      </c>
      <c r="V27" s="29">
        <f>V$12*'Sales Ramp'!$B39+V$13*'Sales Ramp'!$C39+V$14*'Sales Ramp'!$D39+V$15*'Sales Ramp'!$E39+V$16*'Sales Ramp'!$F39+V$17*'Sales Ramp'!$G39+V$18*'Sales Ramp'!$H39+V$19*'Sales Ramp'!$I39+V$20*'Sales Ramp'!$J39+V$21*'Sales Ramp'!$K39</f>
        <v>676104.1667</v>
      </c>
      <c r="W27" s="29">
        <f>W$12*'Sales Ramp'!$B39+W$13*'Sales Ramp'!$C39+W$14*'Sales Ramp'!$D39+W$15*'Sales Ramp'!$E39+W$16*'Sales Ramp'!$F39+W$17*'Sales Ramp'!$G39+W$18*'Sales Ramp'!$H39+W$19*'Sales Ramp'!$I39+W$20*'Sales Ramp'!$J39+W$21*'Sales Ramp'!$K39</f>
        <v>711520.8333</v>
      </c>
      <c r="X27" s="29">
        <f>X$12*'Sales Ramp'!$B39+X$13*'Sales Ramp'!$C39+X$14*'Sales Ramp'!$D39+X$15*'Sales Ramp'!$E39+X$16*'Sales Ramp'!$F39+X$17*'Sales Ramp'!$G39+X$18*'Sales Ramp'!$H39+X$19*'Sales Ramp'!$I39+X$20*'Sales Ramp'!$J39+X$21*'Sales Ramp'!$K39</f>
        <v>746937.5</v>
      </c>
      <c r="Y27" s="29">
        <f>Y$12*'Sales Ramp'!$B39+Y$13*'Sales Ramp'!$C39+Y$14*'Sales Ramp'!$D39+Y$15*'Sales Ramp'!$E39+Y$16*'Sales Ramp'!$F39+Y$17*'Sales Ramp'!$G39+Y$18*'Sales Ramp'!$H39+Y$19*'Sales Ramp'!$I39+Y$20*'Sales Ramp'!$J39+Y$21*'Sales Ramp'!$K39</f>
        <v>782354.1667</v>
      </c>
      <c r="Z27" s="29">
        <f>Z$12*'Sales Ramp'!$B39+Z$13*'Sales Ramp'!$C39+Z$14*'Sales Ramp'!$D39+Z$15*'Sales Ramp'!$E39+Z$16*'Sales Ramp'!$F39+Z$17*'Sales Ramp'!$G39+Z$18*'Sales Ramp'!$H39+Z$19*'Sales Ramp'!$I39+Z$20*'Sales Ramp'!$J39+Z$21*'Sales Ramp'!$K39</f>
        <v>817770.8333</v>
      </c>
      <c r="AA27" s="29">
        <f>AA$12*'Sales Ramp'!$B39+AA$13*'Sales Ramp'!$C39+AA$14*'Sales Ramp'!$D39+AA$15*'Sales Ramp'!$E39+AA$16*'Sales Ramp'!$F39+AA$17*'Sales Ramp'!$G39+AA$18*'Sales Ramp'!$H39+AA$19*'Sales Ramp'!$I39+AA$20*'Sales Ramp'!$J39+AA$21*'Sales Ramp'!$K39</f>
        <v>853187.5</v>
      </c>
      <c r="AB27" s="29">
        <f>AB$12*'Sales Ramp'!$B39+AB$13*'Sales Ramp'!$C39+AB$14*'Sales Ramp'!$D39+AB$15*'Sales Ramp'!$E39+AB$16*'Sales Ramp'!$F39+AB$17*'Sales Ramp'!$G39+AB$18*'Sales Ramp'!$H39+AB$19*'Sales Ramp'!$I39+AB$20*'Sales Ramp'!$J39+AB$21*'Sales Ramp'!$K39</f>
        <v>888604.1667</v>
      </c>
      <c r="AC27" s="29">
        <f>AC$12*'Sales Ramp'!$B39+AC$13*'Sales Ramp'!$C39+AC$14*'Sales Ramp'!$D39+AC$15*'Sales Ramp'!$E39+AC$16*'Sales Ramp'!$F39+AC$17*'Sales Ramp'!$G39+AC$18*'Sales Ramp'!$H39+AC$19*'Sales Ramp'!$I39+AC$20*'Sales Ramp'!$J39+AC$21*'Sales Ramp'!$K39</f>
        <v>924020.8333</v>
      </c>
      <c r="AD27" s="29">
        <f>AD$12*'Sales Ramp'!$B39+AD$13*'Sales Ramp'!$C39+AD$14*'Sales Ramp'!$D39+AD$15*'Sales Ramp'!$E39+AD$16*'Sales Ramp'!$F39+AD$17*'Sales Ramp'!$G39+AD$18*'Sales Ramp'!$H39+AD$19*'Sales Ramp'!$I39+AD$20*'Sales Ramp'!$J39+AD$21*'Sales Ramp'!$K39</f>
        <v>959437.5</v>
      </c>
      <c r="AE27" s="29">
        <f>AE$12*'Sales Ramp'!$B39+AE$13*'Sales Ramp'!$C39+AE$14*'Sales Ramp'!$D39+AE$15*'Sales Ramp'!$E39+AE$16*'Sales Ramp'!$F39+AE$17*'Sales Ramp'!$G39+AE$18*'Sales Ramp'!$H39+AE$19*'Sales Ramp'!$I39+AE$20*'Sales Ramp'!$J39+AE$21*'Sales Ramp'!$K39</f>
        <v>994854.1667</v>
      </c>
      <c r="AF27" s="29">
        <f>AF$12*'Sales Ramp'!$B39+AF$13*'Sales Ramp'!$C39+AF$14*'Sales Ramp'!$D39+AF$15*'Sales Ramp'!$E39+AF$16*'Sales Ramp'!$F39+AF$17*'Sales Ramp'!$G39+AF$18*'Sales Ramp'!$H39+AF$19*'Sales Ramp'!$I39+AF$20*'Sales Ramp'!$J39+AF$21*'Sales Ramp'!$K39</f>
        <v>1030270.833</v>
      </c>
      <c r="AG27" s="29">
        <f>AG$12*'Sales Ramp'!$B39+AG$13*'Sales Ramp'!$C39+AG$14*'Sales Ramp'!$D39+AG$15*'Sales Ramp'!$E39+AG$16*'Sales Ramp'!$F39+AG$17*'Sales Ramp'!$G39+AG$18*'Sales Ramp'!$H39+AG$19*'Sales Ramp'!$I39+AG$20*'Sales Ramp'!$J39+AG$21*'Sales Ramp'!$K39</f>
        <v>1065687.5</v>
      </c>
      <c r="AH27" s="29">
        <f>AH$12*'Sales Ramp'!$B39+AH$13*'Sales Ramp'!$C39+AH$14*'Sales Ramp'!$D39+AH$15*'Sales Ramp'!$E39+AH$16*'Sales Ramp'!$F39+AH$17*'Sales Ramp'!$G39+AH$18*'Sales Ramp'!$H39+AH$19*'Sales Ramp'!$I39+AH$20*'Sales Ramp'!$J39+AH$21*'Sales Ramp'!$K39</f>
        <v>1101104.167</v>
      </c>
      <c r="AI27" s="29">
        <f>AI$12*'Sales Ramp'!$B39+AI$13*'Sales Ramp'!$C39+AI$14*'Sales Ramp'!$D39+AI$15*'Sales Ramp'!$E39+AI$16*'Sales Ramp'!$F39+AI$17*'Sales Ramp'!$G39+AI$18*'Sales Ramp'!$H39+AI$19*'Sales Ramp'!$I39+AI$20*'Sales Ramp'!$J39+AI$21*'Sales Ramp'!$K39</f>
        <v>1136520.833</v>
      </c>
      <c r="AJ27" s="29">
        <f>AJ$12*'Sales Ramp'!$B39+AJ$13*'Sales Ramp'!$C39+AJ$14*'Sales Ramp'!$D39+AJ$15*'Sales Ramp'!$E39+AJ$16*'Sales Ramp'!$F39+AJ$17*'Sales Ramp'!$G39+AJ$18*'Sales Ramp'!$H39+AJ$19*'Sales Ramp'!$I39+AJ$20*'Sales Ramp'!$J39+AJ$21*'Sales Ramp'!$K39</f>
        <v>1171937.5</v>
      </c>
      <c r="AK27" s="29">
        <f>AK$12*'Sales Ramp'!$B39+AK$13*'Sales Ramp'!$C39+AK$14*'Sales Ramp'!$D39+AK$15*'Sales Ramp'!$E39+AK$16*'Sales Ramp'!$F39+AK$17*'Sales Ramp'!$G39+AK$18*'Sales Ramp'!$H39+AK$19*'Sales Ramp'!$I39+AK$20*'Sales Ramp'!$J39+AK$21*'Sales Ramp'!$K39</f>
        <v>1207354.167</v>
      </c>
    </row>
    <row r="28" ht="13.5" customHeight="1">
      <c r="A28" s="70" t="s">
        <v>90</v>
      </c>
      <c r="B28" s="71">
        <f>B27/12</f>
        <v>295.1388889</v>
      </c>
      <c r="C28" s="71">
        <f>C27/12+B28*(1-'Sales Ramp'!$B$19)</f>
        <v>1556.857639</v>
      </c>
      <c r="D28" s="71">
        <f>D27/12+C28*(1-'Sales Ramp'!$B$19)</f>
        <v>4734.950087</v>
      </c>
      <c r="E28" s="71">
        <f>E27/12+D28*(1-'Sales Ramp'!$B$19)</f>
        <v>10784.97911</v>
      </c>
      <c r="F28" s="71">
        <f>F27/12+E28*(1-'Sales Ramp'!$B$19)</f>
        <v>19635.1463</v>
      </c>
      <c r="G28" s="71">
        <f>G27/12+F28*(1-'Sales Ramp'!$B$19)</f>
        <v>31215.4482</v>
      </c>
      <c r="H28" s="71">
        <f>H27/12+G28*(1-'Sales Ramp'!$B$19)</f>
        <v>45457.63144</v>
      </c>
      <c r="I28" s="71">
        <f>I27/12+H28*(1-'Sales Ramp'!$B$19)</f>
        <v>62295.14899</v>
      </c>
      <c r="J28" s="71">
        <f>J27/12+I28*(1-'Sales Ramp'!$B$19)</f>
        <v>81663.11748</v>
      </c>
      <c r="K28" s="71">
        <f>K27/12+J28*(1-'Sales Ramp'!$B$19)</f>
        <v>103498.2757</v>
      </c>
      <c r="L28" s="71">
        <f>L27/12+K28*(1-'Sales Ramp'!$B$19)</f>
        <v>127738.9438</v>
      </c>
      <c r="M28" s="71">
        <f>M27/12+L28*(1-'Sales Ramp'!$B$19)</f>
        <v>154324.9841</v>
      </c>
      <c r="N28" s="71">
        <f>N27/12+M28*(1-'Sales Ramp'!$B$19)</f>
        <v>183197.7622</v>
      </c>
      <c r="O28" s="71">
        <f>O27/12+N28*(1-'Sales Ramp'!$B$19)</f>
        <v>214300.1098</v>
      </c>
      <c r="P28" s="71">
        <f>P27/12+O28*(1-'Sales Ramp'!$B$19)</f>
        <v>247576.2877</v>
      </c>
      <c r="Q28" s="71">
        <f>Q27/12+P28*(1-'Sales Ramp'!$B$19)</f>
        <v>282971.9499</v>
      </c>
      <c r="R28" s="71">
        <f>R27/12+Q28*(1-'Sales Ramp'!$B$19)</f>
        <v>320434.1095</v>
      </c>
      <c r="S28" s="71">
        <f>S27/12+R28*(1-'Sales Ramp'!$B$19)</f>
        <v>359911.104</v>
      </c>
      <c r="T28" s="71">
        <f>T27/12+S28*(1-'Sales Ramp'!$B$19)</f>
        <v>401352.5625</v>
      </c>
      <c r="U28" s="71">
        <f>U27/12+T28*(1-'Sales Ramp'!$B$19)</f>
        <v>444709.3734</v>
      </c>
      <c r="V28" s="71">
        <f>V27/12+U28*(1-'Sales Ramp'!$B$19)</f>
        <v>489933.653</v>
      </c>
      <c r="W28" s="71">
        <f>W27/12+V28*(1-'Sales Ramp'!$B$19)</f>
        <v>536978.7144</v>
      </c>
      <c r="X28" s="71">
        <f>X27/12+W28*(1-'Sales Ramp'!$B$19)</f>
        <v>585799.0382</v>
      </c>
      <c r="Y28" s="71">
        <f>Y27/12+X28*(1-'Sales Ramp'!$B$19)</f>
        <v>636350.2428</v>
      </c>
      <c r="Z28" s="71">
        <f>Z27/12+Y28*(1-'Sales Ramp'!$B$19)</f>
        <v>688589.0562</v>
      </c>
      <c r="AA28" s="71">
        <f>AA27/12+Z28*(1-'Sales Ramp'!$B$19)</f>
        <v>742473.2881</v>
      </c>
      <c r="AB28" s="71">
        <f>AB27/12+AA28*(1-'Sales Ramp'!$B$19)</f>
        <v>797961.8032</v>
      </c>
      <c r="AC28" s="71">
        <f>AC27/12+AB28*(1-'Sales Ramp'!$B$19)</f>
        <v>855014.4942</v>
      </c>
      <c r="AD28" s="71">
        <f>AD27/12+AC28*(1-'Sales Ramp'!$B$19)</f>
        <v>913592.2568</v>
      </c>
      <c r="AE28" s="71">
        <f>AE27/12+AD28*(1-'Sales Ramp'!$B$19)</f>
        <v>973656.9643</v>
      </c>
      <c r="AF28" s="71">
        <f>AF27/12+AE28*(1-'Sales Ramp'!$B$19)</f>
        <v>1035171.443</v>
      </c>
      <c r="AG28" s="71">
        <f>AG27/12+AF28*(1-'Sales Ramp'!$B$19)</f>
        <v>1098099.449</v>
      </c>
      <c r="AH28" s="71">
        <f>AH27/12+AG28*(1-'Sales Ramp'!$B$19)</f>
        <v>1162405.643</v>
      </c>
      <c r="AI28" s="71">
        <f>AI27/12+AH28*(1-'Sales Ramp'!$B$19)</f>
        <v>1228055.571</v>
      </c>
      <c r="AJ28" s="71">
        <f>AJ27/12+AI28*(1-'Sales Ramp'!$B$19)</f>
        <v>1295015.64</v>
      </c>
      <c r="AK28" s="71">
        <f>AK27/12+AJ28*(1-'Sales Ramp'!$B$19)</f>
        <v>1363253.097</v>
      </c>
    </row>
    <row r="29" ht="15.0" customHeight="1">
      <c r="A29" s="72" t="s">
        <v>91</v>
      </c>
      <c r="B29" s="73">
        <f>B28</f>
        <v>295.1388889</v>
      </c>
      <c r="C29" s="73">
        <f t="shared" ref="C29:AK29" si="12">B29+C28</f>
        <v>1851.996528</v>
      </c>
      <c r="D29" s="73">
        <f t="shared" si="12"/>
        <v>6586.946615</v>
      </c>
      <c r="E29" s="73">
        <f t="shared" si="12"/>
        <v>17371.92573</v>
      </c>
      <c r="F29" s="73">
        <f t="shared" si="12"/>
        <v>37007.07203</v>
      </c>
      <c r="G29" s="73">
        <f t="shared" si="12"/>
        <v>68222.52023</v>
      </c>
      <c r="H29" s="73">
        <f t="shared" si="12"/>
        <v>113680.1517</v>
      </c>
      <c r="I29" s="73">
        <f t="shared" si="12"/>
        <v>175975.3007</v>
      </c>
      <c r="J29" s="73">
        <f t="shared" si="12"/>
        <v>257638.4181</v>
      </c>
      <c r="K29" s="73">
        <f t="shared" si="12"/>
        <v>361136.6938</v>
      </c>
      <c r="L29" s="73">
        <f t="shared" si="12"/>
        <v>488875.6376</v>
      </c>
      <c r="M29" s="73">
        <f t="shared" si="12"/>
        <v>643200.6216</v>
      </c>
      <c r="N29" s="73">
        <f t="shared" si="12"/>
        <v>826398.3839</v>
      </c>
      <c r="O29" s="73">
        <f t="shared" si="12"/>
        <v>1040698.494</v>
      </c>
      <c r="P29" s="73">
        <f t="shared" si="12"/>
        <v>1288274.781</v>
      </c>
      <c r="Q29" s="73">
        <f t="shared" si="12"/>
        <v>1571246.731</v>
      </c>
      <c r="R29" s="73">
        <f t="shared" si="12"/>
        <v>1891680.841</v>
      </c>
      <c r="S29" s="73">
        <f t="shared" si="12"/>
        <v>2251591.945</v>
      </c>
      <c r="T29" s="73">
        <f t="shared" si="12"/>
        <v>2652944.507</v>
      </c>
      <c r="U29" s="73">
        <f t="shared" si="12"/>
        <v>3097653.881</v>
      </c>
      <c r="V29" s="73">
        <f t="shared" si="12"/>
        <v>3587587.534</v>
      </c>
      <c r="W29" s="73">
        <f t="shared" si="12"/>
        <v>4124566.248</v>
      </c>
      <c r="X29" s="73">
        <f t="shared" si="12"/>
        <v>4710365.286</v>
      </c>
      <c r="Y29" s="73">
        <f t="shared" si="12"/>
        <v>5346715.529</v>
      </c>
      <c r="Z29" s="73">
        <f t="shared" si="12"/>
        <v>6035304.585</v>
      </c>
      <c r="AA29" s="73">
        <f t="shared" si="12"/>
        <v>6777777.874</v>
      </c>
      <c r="AB29" s="73">
        <f t="shared" si="12"/>
        <v>7575739.677</v>
      </c>
      <c r="AC29" s="73">
        <f t="shared" si="12"/>
        <v>8430754.171</v>
      </c>
      <c r="AD29" s="73">
        <f t="shared" si="12"/>
        <v>9344346.428</v>
      </c>
      <c r="AE29" s="73">
        <f t="shared" si="12"/>
        <v>10318003.39</v>
      </c>
      <c r="AF29" s="73">
        <f t="shared" si="12"/>
        <v>11353174.84</v>
      </c>
      <c r="AG29" s="73">
        <f t="shared" si="12"/>
        <v>12451274.28</v>
      </c>
      <c r="AH29" s="73">
        <f t="shared" si="12"/>
        <v>13613679.93</v>
      </c>
      <c r="AI29" s="73">
        <f t="shared" si="12"/>
        <v>14841735.5</v>
      </c>
      <c r="AJ29" s="73">
        <f t="shared" si="12"/>
        <v>16136751.14</v>
      </c>
      <c r="AK29" s="73">
        <f t="shared" si="12"/>
        <v>17500004.23</v>
      </c>
    </row>
    <row r="30" ht="15.0" customHeight="1">
      <c r="A30" s="74" t="s">
        <v>92</v>
      </c>
      <c r="B30" s="75">
        <f>'Sales Ramp'!$B$20*B29</f>
        <v>236.1111111</v>
      </c>
      <c r="C30" s="75">
        <f>'Sales Ramp'!$B$20*C29</f>
        <v>1481.597222</v>
      </c>
      <c r="D30" s="75">
        <f>'Sales Ramp'!$B$20*D29</f>
        <v>5269.557292</v>
      </c>
      <c r="E30" s="75">
        <f>'Sales Ramp'!$B$20*E29</f>
        <v>13897.54058</v>
      </c>
      <c r="F30" s="75">
        <f>'Sales Ramp'!$B$20*F29</f>
        <v>29605.65762</v>
      </c>
      <c r="G30" s="75">
        <f>'Sales Ramp'!$B$20*G29</f>
        <v>54578.01618</v>
      </c>
      <c r="H30" s="75">
        <f>'Sales Ramp'!$B$20*H29</f>
        <v>90944.12133</v>
      </c>
      <c r="I30" s="75">
        <f>'Sales Ramp'!$B$20*I29</f>
        <v>140780.2405</v>
      </c>
      <c r="J30" s="75">
        <f>'Sales Ramp'!$B$20*J29</f>
        <v>206110.7345</v>
      </c>
      <c r="K30" s="75">
        <f>'Sales Ramp'!$B$20*K29</f>
        <v>288909.355</v>
      </c>
      <c r="L30" s="75">
        <f>'Sales Ramp'!$B$20*L29</f>
        <v>391100.51</v>
      </c>
      <c r="M30" s="75">
        <f>'Sales Ramp'!$B$20*M29</f>
        <v>514560.4973</v>
      </c>
      <c r="N30" s="75">
        <f>'Sales Ramp'!$B$20*N29</f>
        <v>661118.7071</v>
      </c>
      <c r="O30" s="75">
        <f>'Sales Ramp'!$B$20*O29</f>
        <v>832558.795</v>
      </c>
      <c r="P30" s="75">
        <f>'Sales Ramp'!$B$20*P29</f>
        <v>1030619.825</v>
      </c>
      <c r="Q30" s="75">
        <f>'Sales Ramp'!$B$20*Q29</f>
        <v>1256997.385</v>
      </c>
      <c r="R30" s="75">
        <f>'Sales Ramp'!$B$20*R29</f>
        <v>1513344.673</v>
      </c>
      <c r="S30" s="75">
        <f>'Sales Ramp'!$B$20*S29</f>
        <v>1801273.556</v>
      </c>
      <c r="T30" s="75">
        <f>'Sales Ramp'!$B$20*T29</f>
        <v>2122355.606</v>
      </c>
      <c r="U30" s="75">
        <f>'Sales Ramp'!$B$20*U29</f>
        <v>2478123.105</v>
      </c>
      <c r="V30" s="75">
        <f>'Sales Ramp'!$B$20*V29</f>
        <v>2870070.027</v>
      </c>
      <c r="W30" s="75">
        <f>'Sales Ramp'!$B$20*W29</f>
        <v>3299652.998</v>
      </c>
      <c r="X30" s="75">
        <f>'Sales Ramp'!$B$20*X29</f>
        <v>3768292.229</v>
      </c>
      <c r="Y30" s="75">
        <f>'Sales Ramp'!$B$20*Y29</f>
        <v>4277372.423</v>
      </c>
      <c r="Z30" s="75">
        <f>'Sales Ramp'!$B$20*Z29</f>
        <v>4828243.668</v>
      </c>
      <c r="AA30" s="75">
        <f>'Sales Ramp'!$B$20*AA29</f>
        <v>5422222.299</v>
      </c>
      <c r="AB30" s="75">
        <f>'Sales Ramp'!$B$20*AB29</f>
        <v>6060591.741</v>
      </c>
      <c r="AC30" s="75">
        <f>'Sales Ramp'!$B$20*AC29</f>
        <v>6744603.337</v>
      </c>
      <c r="AD30" s="75">
        <f>'Sales Ramp'!$B$20*AD29</f>
        <v>7475477.142</v>
      </c>
      <c r="AE30" s="75">
        <f>'Sales Ramp'!$B$20*AE29</f>
        <v>8254402.714</v>
      </c>
      <c r="AF30" s="75">
        <f>'Sales Ramp'!$B$20*AF29</f>
        <v>9082539.868</v>
      </c>
      <c r="AG30" s="75">
        <f>'Sales Ramp'!$B$20*AG29</f>
        <v>9961019.427</v>
      </c>
      <c r="AH30" s="75">
        <f>'Sales Ramp'!$B$20*AH29</f>
        <v>10890943.94</v>
      </c>
      <c r="AI30" s="75">
        <f>'Sales Ramp'!$B$20*AI29</f>
        <v>11873388.4</v>
      </c>
      <c r="AJ30" s="75">
        <f>'Sales Ramp'!$B$20*AJ29</f>
        <v>12909400.91</v>
      </c>
      <c r="AK30" s="75">
        <f>'Sales Ramp'!$B$20*AK29</f>
        <v>14000003.39</v>
      </c>
    </row>
    <row r="31" ht="13.5" customHeight="1">
      <c r="A31" s="27" t="s">
        <v>116</v>
      </c>
      <c r="B31" s="29">
        <f>B28</f>
        <v>295.1388889</v>
      </c>
      <c r="C31" s="29">
        <f t="shared" ref="C31:AK31" si="13">C28-B28</f>
        <v>1261.71875</v>
      </c>
      <c r="D31" s="29">
        <f t="shared" si="13"/>
        <v>3178.092448</v>
      </c>
      <c r="E31" s="29">
        <f t="shared" si="13"/>
        <v>6050.029026</v>
      </c>
      <c r="F31" s="29">
        <f t="shared" si="13"/>
        <v>8850.167189</v>
      </c>
      <c r="G31" s="29">
        <f t="shared" si="13"/>
        <v>11580.3019</v>
      </c>
      <c r="H31" s="29">
        <f t="shared" si="13"/>
        <v>14242.18324</v>
      </c>
      <c r="I31" s="29">
        <f t="shared" si="13"/>
        <v>16837.51755</v>
      </c>
      <c r="J31" s="29">
        <f t="shared" si="13"/>
        <v>19367.9685</v>
      </c>
      <c r="K31" s="29">
        <f t="shared" si="13"/>
        <v>21835.15817</v>
      </c>
      <c r="L31" s="29">
        <f t="shared" si="13"/>
        <v>24240.66811</v>
      </c>
      <c r="M31" s="29">
        <f t="shared" si="13"/>
        <v>26586.04029</v>
      </c>
      <c r="N31" s="29">
        <f t="shared" si="13"/>
        <v>28872.77818</v>
      </c>
      <c r="O31" s="29">
        <f t="shared" si="13"/>
        <v>31102.34761</v>
      </c>
      <c r="P31" s="29">
        <f t="shared" si="13"/>
        <v>33276.17781</v>
      </c>
      <c r="Q31" s="29">
        <f t="shared" si="13"/>
        <v>35395.66225</v>
      </c>
      <c r="R31" s="29">
        <f t="shared" si="13"/>
        <v>37462.15959</v>
      </c>
      <c r="S31" s="29">
        <f t="shared" si="13"/>
        <v>39476.99448</v>
      </c>
      <c r="T31" s="29">
        <f t="shared" si="13"/>
        <v>41441.45851</v>
      </c>
      <c r="U31" s="29">
        <f t="shared" si="13"/>
        <v>43356.81094</v>
      </c>
      <c r="V31" s="29">
        <f t="shared" si="13"/>
        <v>45224.27955</v>
      </c>
      <c r="W31" s="29">
        <f t="shared" si="13"/>
        <v>47045.06145</v>
      </c>
      <c r="X31" s="29">
        <f t="shared" si="13"/>
        <v>48820.32381</v>
      </c>
      <c r="Y31" s="29">
        <f t="shared" si="13"/>
        <v>50551.2046</v>
      </c>
      <c r="Z31" s="29">
        <f t="shared" si="13"/>
        <v>52238.81337</v>
      </c>
      <c r="AA31" s="29">
        <f t="shared" si="13"/>
        <v>53884.23193</v>
      </c>
      <c r="AB31" s="29">
        <f t="shared" si="13"/>
        <v>55488.51502</v>
      </c>
      <c r="AC31" s="29">
        <f t="shared" si="13"/>
        <v>57052.69103</v>
      </c>
      <c r="AD31" s="29">
        <f t="shared" si="13"/>
        <v>58577.76265</v>
      </c>
      <c r="AE31" s="29">
        <f t="shared" si="13"/>
        <v>60064.70747</v>
      </c>
      <c r="AF31" s="29">
        <f t="shared" si="13"/>
        <v>61514.47867</v>
      </c>
      <c r="AG31" s="29">
        <f t="shared" si="13"/>
        <v>62928.00559</v>
      </c>
      <c r="AH31" s="29">
        <f t="shared" si="13"/>
        <v>64306.19434</v>
      </c>
      <c r="AI31" s="29">
        <f t="shared" si="13"/>
        <v>65649.92837</v>
      </c>
      <c r="AJ31" s="29">
        <f t="shared" si="13"/>
        <v>66960.06905</v>
      </c>
      <c r="AK31" s="29">
        <f t="shared" si="13"/>
        <v>68237.45621</v>
      </c>
    </row>
    <row r="32" ht="13.5" customHeight="1">
      <c r="A32" s="3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</row>
    <row r="33" ht="16.5" customHeight="1">
      <c r="A33" s="64" t="s">
        <v>93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ht="15.0" customHeight="1">
      <c r="A34" s="66" t="s">
        <v>94</v>
      </c>
      <c r="B34" s="29">
        <f>B$22*'Sales Ramp'!B49</f>
        <v>4166.666667</v>
      </c>
      <c r="C34" s="29">
        <f>C$22*'Sales Ramp'!C49</f>
        <v>8333.333333</v>
      </c>
      <c r="D34" s="29">
        <f>D$22*'Sales Ramp'!D49</f>
        <v>12500</v>
      </c>
      <c r="E34" s="29">
        <f>E$22*'Sales Ramp'!E49</f>
        <v>16666.66667</v>
      </c>
      <c r="F34" s="29">
        <f>F$22*'Sales Ramp'!F49</f>
        <v>20833.33333</v>
      </c>
      <c r="G34" s="29">
        <f>G$22*'Sales Ramp'!G49</f>
        <v>25000</v>
      </c>
      <c r="H34" s="29">
        <f>H$22*'Sales Ramp'!H49</f>
        <v>29166.66667</v>
      </c>
      <c r="I34" s="29">
        <f>I$22*'Sales Ramp'!I49</f>
        <v>33333.33333</v>
      </c>
      <c r="J34" s="29">
        <f>J$22*'Sales Ramp'!J49</f>
        <v>37500</v>
      </c>
      <c r="K34" s="29">
        <f>K$22*'Sales Ramp'!K49</f>
        <v>41666.66667</v>
      </c>
      <c r="L34" s="29">
        <f>L$22*'Sales Ramp'!L49</f>
        <v>45833.33333</v>
      </c>
      <c r="M34" s="29">
        <f>M$22*'Sales Ramp'!M49</f>
        <v>50000</v>
      </c>
      <c r="N34" s="29">
        <f>N$22*'Sales Ramp'!N49</f>
        <v>54166.66667</v>
      </c>
      <c r="O34" s="29">
        <f>O$22*'Sales Ramp'!O49</f>
        <v>58333.33333</v>
      </c>
      <c r="P34" s="29">
        <f>P$22*'Sales Ramp'!P49</f>
        <v>62500</v>
      </c>
      <c r="Q34" s="29">
        <f>Q$22*'Sales Ramp'!Q49</f>
        <v>66666.66667</v>
      </c>
      <c r="R34" s="29">
        <f>R$22*'Sales Ramp'!R49</f>
        <v>70833.33333</v>
      </c>
      <c r="S34" s="29">
        <f>S$22*'Sales Ramp'!S49</f>
        <v>75000</v>
      </c>
      <c r="T34" s="29">
        <f>T$22*'Sales Ramp'!T49</f>
        <v>79166.66667</v>
      </c>
      <c r="U34" s="29">
        <f>U$22*'Sales Ramp'!U49</f>
        <v>83333.33333</v>
      </c>
      <c r="V34" s="29">
        <f>V$22*'Sales Ramp'!V49</f>
        <v>87500</v>
      </c>
      <c r="W34" s="29">
        <f>W$22*'Sales Ramp'!W49</f>
        <v>91666.66667</v>
      </c>
      <c r="X34" s="29">
        <f>X$22*'Sales Ramp'!X49</f>
        <v>95833.33333</v>
      </c>
      <c r="Y34" s="29">
        <f>Y$22*'Sales Ramp'!Y49</f>
        <v>100000</v>
      </c>
      <c r="Z34" s="29">
        <f>Z$22*'Sales Ramp'!Z49</f>
        <v>104166.6667</v>
      </c>
      <c r="AA34" s="29">
        <f>AA$22*'Sales Ramp'!AA49</f>
        <v>108333.3333</v>
      </c>
      <c r="AB34" s="29">
        <f>AB$22*'Sales Ramp'!AB49</f>
        <v>112500</v>
      </c>
      <c r="AC34" s="29">
        <f>AC$22*'Sales Ramp'!AC49</f>
        <v>116666.6667</v>
      </c>
      <c r="AD34" s="29">
        <f>AD$22*'Sales Ramp'!AD49</f>
        <v>120833.3333</v>
      </c>
      <c r="AE34" s="29">
        <f>AE$22*'Sales Ramp'!AE49</f>
        <v>125000</v>
      </c>
      <c r="AF34" s="29">
        <f>AF$22*'Sales Ramp'!AF49</f>
        <v>129166.6667</v>
      </c>
      <c r="AG34" s="29">
        <f>AG$22*'Sales Ramp'!AG49</f>
        <v>133333.3333</v>
      </c>
      <c r="AH34" s="29">
        <f>AH$22*'Sales Ramp'!AH49</f>
        <v>137500</v>
      </c>
      <c r="AI34" s="29">
        <f>AI$22*'Sales Ramp'!AI49</f>
        <v>141666.6667</v>
      </c>
      <c r="AJ34" s="29">
        <f>AJ$22*'Sales Ramp'!AJ49</f>
        <v>145833.3333</v>
      </c>
      <c r="AK34" s="29">
        <f>AK$22*'Sales Ramp'!AK49</f>
        <v>150000</v>
      </c>
    </row>
    <row r="35" ht="13.5" customHeight="1">
      <c r="A35" s="27" t="s">
        <v>6</v>
      </c>
      <c r="B35" s="29">
        <f>B$12*'Sales Ramp'!$B50+B$13*'Sales Ramp'!$C50+B$14*'Sales Ramp'!$D50+B$15*'Sales Ramp'!$E50+B$16*'Sales Ramp'!$F50+B$17*'Sales Ramp'!$G50+B$18*'Sales Ramp'!$H50+B$19*'Sales Ramp'!$I50+B$20*'Sales Ramp'!$J50+B$21*'Sales Ramp'!$K50</f>
        <v>4583.333333</v>
      </c>
      <c r="C35" s="29">
        <f>C$12*'Sales Ramp'!$B50+C$13*'Sales Ramp'!$C50+C$14*'Sales Ramp'!$D50+C$15*'Sales Ramp'!$E50+C$16*'Sales Ramp'!$F50+C$17*'Sales Ramp'!$G50+C$18*'Sales Ramp'!$H50+C$19*'Sales Ramp'!$I50+C$20*'Sales Ramp'!$J50+C$21*'Sales Ramp'!$K50</f>
        <v>7791.666667</v>
      </c>
      <c r="D35" s="29">
        <f>D$12*'Sales Ramp'!$B50+D$13*'Sales Ramp'!$C50+D$14*'Sales Ramp'!$D50+D$15*'Sales Ramp'!$E50+D$16*'Sales Ramp'!$F50+D$17*'Sales Ramp'!$G50+D$18*'Sales Ramp'!$H50+D$19*'Sales Ramp'!$I50+D$20*'Sales Ramp'!$J50+D$21*'Sales Ramp'!$K50</f>
        <v>10816.66667</v>
      </c>
      <c r="E35" s="29">
        <f>E$12*'Sales Ramp'!$B50+E$13*'Sales Ramp'!$C50+E$14*'Sales Ramp'!$D50+E$15*'Sales Ramp'!$E50+E$16*'Sales Ramp'!$F50+E$17*'Sales Ramp'!$G50+E$18*'Sales Ramp'!$H50+E$19*'Sales Ramp'!$I50+E$20*'Sales Ramp'!$J50+E$21*'Sales Ramp'!$K50</f>
        <v>15400</v>
      </c>
      <c r="F35" s="29">
        <f>F$12*'Sales Ramp'!$B50+F$13*'Sales Ramp'!$C50+F$14*'Sales Ramp'!$D50+F$15*'Sales Ramp'!$E50+F$16*'Sales Ramp'!$F50+F$17*'Sales Ramp'!$G50+F$18*'Sales Ramp'!$H50+F$19*'Sales Ramp'!$I50+F$20*'Sales Ramp'!$J50+F$21*'Sales Ramp'!$K50</f>
        <v>19983.33333</v>
      </c>
      <c r="G35" s="29">
        <f>G$12*'Sales Ramp'!$B50+G$13*'Sales Ramp'!$C50+G$14*'Sales Ramp'!$D50+G$15*'Sales Ramp'!$E50+G$16*'Sales Ramp'!$F50+G$17*'Sales Ramp'!$G50+G$18*'Sales Ramp'!$H50+G$19*'Sales Ramp'!$I50+G$20*'Sales Ramp'!$J50+G$21*'Sales Ramp'!$K50</f>
        <v>24566.66667</v>
      </c>
      <c r="H35" s="29">
        <f>H$12*'Sales Ramp'!$B50+H$13*'Sales Ramp'!$C50+H$14*'Sales Ramp'!$D50+H$15*'Sales Ramp'!$E50+H$16*'Sales Ramp'!$F50+H$17*'Sales Ramp'!$G50+H$18*'Sales Ramp'!$H50+H$19*'Sales Ramp'!$I50+H$20*'Sales Ramp'!$J50+H$21*'Sales Ramp'!$K50</f>
        <v>29150</v>
      </c>
      <c r="I35" s="29">
        <f>I$12*'Sales Ramp'!$B50+I$13*'Sales Ramp'!$C50+I$14*'Sales Ramp'!$D50+I$15*'Sales Ramp'!$E50+I$16*'Sales Ramp'!$F50+I$17*'Sales Ramp'!$G50+I$18*'Sales Ramp'!$H50+I$19*'Sales Ramp'!$I50+I$20*'Sales Ramp'!$J50+I$21*'Sales Ramp'!$K50</f>
        <v>33733.33333</v>
      </c>
      <c r="J35" s="29">
        <f>J$12*'Sales Ramp'!$B50+J$13*'Sales Ramp'!$C50+J$14*'Sales Ramp'!$D50+J$15*'Sales Ramp'!$E50+J$16*'Sales Ramp'!$F50+J$17*'Sales Ramp'!$G50+J$18*'Sales Ramp'!$H50+J$19*'Sales Ramp'!$I50+J$20*'Sales Ramp'!$J50+J$21*'Sales Ramp'!$K50</f>
        <v>38316.66667</v>
      </c>
      <c r="K35" s="29">
        <f>K$12*'Sales Ramp'!$B50+K$13*'Sales Ramp'!$C50+K$14*'Sales Ramp'!$D50+K$15*'Sales Ramp'!$E50+K$16*'Sales Ramp'!$F50+K$17*'Sales Ramp'!$G50+K$18*'Sales Ramp'!$H50+K$19*'Sales Ramp'!$I50+K$20*'Sales Ramp'!$J50+K$21*'Sales Ramp'!$K50</f>
        <v>42900</v>
      </c>
      <c r="L35" s="29">
        <f>L$12*'Sales Ramp'!$B50+L$13*'Sales Ramp'!$C50+L$14*'Sales Ramp'!$D50+L$15*'Sales Ramp'!$E50+L$16*'Sales Ramp'!$F50+L$17*'Sales Ramp'!$G50+L$18*'Sales Ramp'!$H50+L$19*'Sales Ramp'!$I50+L$20*'Sales Ramp'!$J50+L$21*'Sales Ramp'!$K50</f>
        <v>47483.33333</v>
      </c>
      <c r="M35" s="29">
        <f>M$12*'Sales Ramp'!$B50+M$13*'Sales Ramp'!$C50+M$14*'Sales Ramp'!$D50+M$15*'Sales Ramp'!$E50+M$16*'Sales Ramp'!$F50+M$17*'Sales Ramp'!$G50+M$18*'Sales Ramp'!$H50+M$19*'Sales Ramp'!$I50+M$20*'Sales Ramp'!$J50+M$21*'Sales Ramp'!$K50</f>
        <v>52066.66667</v>
      </c>
      <c r="N35" s="29">
        <f>N$12*'Sales Ramp'!$B50+N$13*'Sales Ramp'!$C50+N$14*'Sales Ramp'!$D50+N$15*'Sales Ramp'!$E50+N$16*'Sales Ramp'!$F50+N$17*'Sales Ramp'!$G50+N$18*'Sales Ramp'!$H50+N$19*'Sales Ramp'!$I50+N$20*'Sales Ramp'!$J50+N$21*'Sales Ramp'!$K50</f>
        <v>56650</v>
      </c>
      <c r="O35" s="29">
        <f>O$12*'Sales Ramp'!$B50+O$13*'Sales Ramp'!$C50+O$14*'Sales Ramp'!$D50+O$15*'Sales Ramp'!$E50+O$16*'Sales Ramp'!$F50+O$17*'Sales Ramp'!$G50+O$18*'Sales Ramp'!$H50+O$19*'Sales Ramp'!$I50+O$20*'Sales Ramp'!$J50+O$21*'Sales Ramp'!$K50</f>
        <v>61233.33333</v>
      </c>
      <c r="P35" s="29">
        <f>P$12*'Sales Ramp'!$B50+P$13*'Sales Ramp'!$C50+P$14*'Sales Ramp'!$D50+P$15*'Sales Ramp'!$E50+P$16*'Sales Ramp'!$F50+P$17*'Sales Ramp'!$G50+P$18*'Sales Ramp'!$H50+P$19*'Sales Ramp'!$I50+P$20*'Sales Ramp'!$J50+P$21*'Sales Ramp'!$K50</f>
        <v>65816.66667</v>
      </c>
      <c r="Q35" s="29">
        <f>Q$12*'Sales Ramp'!$B50+Q$13*'Sales Ramp'!$C50+Q$14*'Sales Ramp'!$D50+Q$15*'Sales Ramp'!$E50+Q$16*'Sales Ramp'!$F50+Q$17*'Sales Ramp'!$G50+Q$18*'Sales Ramp'!$H50+Q$19*'Sales Ramp'!$I50+Q$20*'Sales Ramp'!$J50+Q$21*'Sales Ramp'!$K50</f>
        <v>70400</v>
      </c>
      <c r="R35" s="29">
        <f>R$12*'Sales Ramp'!$B50+R$13*'Sales Ramp'!$C50+R$14*'Sales Ramp'!$D50+R$15*'Sales Ramp'!$E50+R$16*'Sales Ramp'!$F50+R$17*'Sales Ramp'!$G50+R$18*'Sales Ramp'!$H50+R$19*'Sales Ramp'!$I50+R$20*'Sales Ramp'!$J50+R$21*'Sales Ramp'!$K50</f>
        <v>74983.33333</v>
      </c>
      <c r="S35" s="29">
        <f>S$12*'Sales Ramp'!$B50+S$13*'Sales Ramp'!$C50+S$14*'Sales Ramp'!$D50+S$15*'Sales Ramp'!$E50+S$16*'Sales Ramp'!$F50+S$17*'Sales Ramp'!$G50+S$18*'Sales Ramp'!$H50+S$19*'Sales Ramp'!$I50+S$20*'Sales Ramp'!$J50+S$21*'Sales Ramp'!$K50</f>
        <v>79566.66667</v>
      </c>
      <c r="T35" s="29">
        <f>T$12*'Sales Ramp'!$B50+T$13*'Sales Ramp'!$C50+T$14*'Sales Ramp'!$D50+T$15*'Sales Ramp'!$E50+T$16*'Sales Ramp'!$F50+T$17*'Sales Ramp'!$G50+T$18*'Sales Ramp'!$H50+T$19*'Sales Ramp'!$I50+T$20*'Sales Ramp'!$J50+T$21*'Sales Ramp'!$K50</f>
        <v>84150</v>
      </c>
      <c r="U35" s="29">
        <f>U$12*'Sales Ramp'!$B50+U$13*'Sales Ramp'!$C50+U$14*'Sales Ramp'!$D50+U$15*'Sales Ramp'!$E50+U$16*'Sales Ramp'!$F50+U$17*'Sales Ramp'!$G50+U$18*'Sales Ramp'!$H50+U$19*'Sales Ramp'!$I50+U$20*'Sales Ramp'!$J50+U$21*'Sales Ramp'!$K50</f>
        <v>88733.33333</v>
      </c>
      <c r="V35" s="29">
        <f>V$12*'Sales Ramp'!$B50+V$13*'Sales Ramp'!$C50+V$14*'Sales Ramp'!$D50+V$15*'Sales Ramp'!$E50+V$16*'Sales Ramp'!$F50+V$17*'Sales Ramp'!$G50+V$18*'Sales Ramp'!$H50+V$19*'Sales Ramp'!$I50+V$20*'Sales Ramp'!$J50+V$21*'Sales Ramp'!$K50</f>
        <v>93316.66667</v>
      </c>
      <c r="W35" s="29">
        <f>W$12*'Sales Ramp'!$B50+W$13*'Sales Ramp'!$C50+W$14*'Sales Ramp'!$D50+W$15*'Sales Ramp'!$E50+W$16*'Sales Ramp'!$F50+W$17*'Sales Ramp'!$G50+W$18*'Sales Ramp'!$H50+W$19*'Sales Ramp'!$I50+W$20*'Sales Ramp'!$J50+W$21*'Sales Ramp'!$K50</f>
        <v>97900</v>
      </c>
      <c r="X35" s="29">
        <f>X$12*'Sales Ramp'!$B50+X$13*'Sales Ramp'!$C50+X$14*'Sales Ramp'!$D50+X$15*'Sales Ramp'!$E50+X$16*'Sales Ramp'!$F50+X$17*'Sales Ramp'!$G50+X$18*'Sales Ramp'!$H50+X$19*'Sales Ramp'!$I50+X$20*'Sales Ramp'!$J50+X$21*'Sales Ramp'!$K50</f>
        <v>102483.3333</v>
      </c>
      <c r="Y35" s="29">
        <f>Y$12*'Sales Ramp'!$B50+Y$13*'Sales Ramp'!$C50+Y$14*'Sales Ramp'!$D50+Y$15*'Sales Ramp'!$E50+Y$16*'Sales Ramp'!$F50+Y$17*'Sales Ramp'!$G50+Y$18*'Sales Ramp'!$H50+Y$19*'Sales Ramp'!$I50+Y$20*'Sales Ramp'!$J50+Y$21*'Sales Ramp'!$K50</f>
        <v>107066.6667</v>
      </c>
      <c r="Z35" s="29">
        <f>Z$12*'Sales Ramp'!$B50+Z$13*'Sales Ramp'!$C50+Z$14*'Sales Ramp'!$D50+Z$15*'Sales Ramp'!$E50+Z$16*'Sales Ramp'!$F50+Z$17*'Sales Ramp'!$G50+Z$18*'Sales Ramp'!$H50+Z$19*'Sales Ramp'!$I50+Z$20*'Sales Ramp'!$J50+Z$21*'Sales Ramp'!$K50</f>
        <v>111650</v>
      </c>
      <c r="AA35" s="29">
        <f>AA$12*'Sales Ramp'!$B50+AA$13*'Sales Ramp'!$C50+AA$14*'Sales Ramp'!$D50+AA$15*'Sales Ramp'!$E50+AA$16*'Sales Ramp'!$F50+AA$17*'Sales Ramp'!$G50+AA$18*'Sales Ramp'!$H50+AA$19*'Sales Ramp'!$I50+AA$20*'Sales Ramp'!$J50+AA$21*'Sales Ramp'!$K50</f>
        <v>116233.3333</v>
      </c>
      <c r="AB35" s="29">
        <f>AB$12*'Sales Ramp'!$B50+AB$13*'Sales Ramp'!$C50+AB$14*'Sales Ramp'!$D50+AB$15*'Sales Ramp'!$E50+AB$16*'Sales Ramp'!$F50+AB$17*'Sales Ramp'!$G50+AB$18*'Sales Ramp'!$H50+AB$19*'Sales Ramp'!$I50+AB$20*'Sales Ramp'!$J50+AB$21*'Sales Ramp'!$K50</f>
        <v>120816.6667</v>
      </c>
      <c r="AC35" s="29">
        <f>AC$12*'Sales Ramp'!$B50+AC$13*'Sales Ramp'!$C50+AC$14*'Sales Ramp'!$D50+AC$15*'Sales Ramp'!$E50+AC$16*'Sales Ramp'!$F50+AC$17*'Sales Ramp'!$G50+AC$18*'Sales Ramp'!$H50+AC$19*'Sales Ramp'!$I50+AC$20*'Sales Ramp'!$J50+AC$21*'Sales Ramp'!$K50</f>
        <v>125400</v>
      </c>
      <c r="AD35" s="29">
        <f>AD$12*'Sales Ramp'!$B50+AD$13*'Sales Ramp'!$C50+AD$14*'Sales Ramp'!$D50+AD$15*'Sales Ramp'!$E50+AD$16*'Sales Ramp'!$F50+AD$17*'Sales Ramp'!$G50+AD$18*'Sales Ramp'!$H50+AD$19*'Sales Ramp'!$I50+AD$20*'Sales Ramp'!$J50+AD$21*'Sales Ramp'!$K50</f>
        <v>129983.3333</v>
      </c>
      <c r="AE35" s="29">
        <f>AE$12*'Sales Ramp'!$B50+AE$13*'Sales Ramp'!$C50+AE$14*'Sales Ramp'!$D50+AE$15*'Sales Ramp'!$E50+AE$16*'Sales Ramp'!$F50+AE$17*'Sales Ramp'!$G50+AE$18*'Sales Ramp'!$H50+AE$19*'Sales Ramp'!$I50+AE$20*'Sales Ramp'!$J50+AE$21*'Sales Ramp'!$K50</f>
        <v>134566.6667</v>
      </c>
      <c r="AF35" s="29">
        <f>AF$12*'Sales Ramp'!$B50+AF$13*'Sales Ramp'!$C50+AF$14*'Sales Ramp'!$D50+AF$15*'Sales Ramp'!$E50+AF$16*'Sales Ramp'!$F50+AF$17*'Sales Ramp'!$G50+AF$18*'Sales Ramp'!$H50+AF$19*'Sales Ramp'!$I50+AF$20*'Sales Ramp'!$J50+AF$21*'Sales Ramp'!$K50</f>
        <v>139150</v>
      </c>
      <c r="AG35" s="29">
        <f>AG$12*'Sales Ramp'!$B50+AG$13*'Sales Ramp'!$C50+AG$14*'Sales Ramp'!$D50+AG$15*'Sales Ramp'!$E50+AG$16*'Sales Ramp'!$F50+AG$17*'Sales Ramp'!$G50+AG$18*'Sales Ramp'!$H50+AG$19*'Sales Ramp'!$I50+AG$20*'Sales Ramp'!$J50+AG$21*'Sales Ramp'!$K50</f>
        <v>143733.3333</v>
      </c>
      <c r="AH35" s="29">
        <f>AH$12*'Sales Ramp'!$B50+AH$13*'Sales Ramp'!$C50+AH$14*'Sales Ramp'!$D50+AH$15*'Sales Ramp'!$E50+AH$16*'Sales Ramp'!$F50+AH$17*'Sales Ramp'!$G50+AH$18*'Sales Ramp'!$H50+AH$19*'Sales Ramp'!$I50+AH$20*'Sales Ramp'!$J50+AH$21*'Sales Ramp'!$K50</f>
        <v>148316.6667</v>
      </c>
      <c r="AI35" s="29">
        <f>AI$12*'Sales Ramp'!$B50+AI$13*'Sales Ramp'!$C50+AI$14*'Sales Ramp'!$D50+AI$15*'Sales Ramp'!$E50+AI$16*'Sales Ramp'!$F50+AI$17*'Sales Ramp'!$G50+AI$18*'Sales Ramp'!$H50+AI$19*'Sales Ramp'!$I50+AI$20*'Sales Ramp'!$J50+AI$21*'Sales Ramp'!$K50</f>
        <v>152900</v>
      </c>
      <c r="AJ35" s="29">
        <f>AJ$12*'Sales Ramp'!$B50+AJ$13*'Sales Ramp'!$C50+AJ$14*'Sales Ramp'!$D50+AJ$15*'Sales Ramp'!$E50+AJ$16*'Sales Ramp'!$F50+AJ$17*'Sales Ramp'!$G50+AJ$18*'Sales Ramp'!$H50+AJ$19*'Sales Ramp'!$I50+AJ$20*'Sales Ramp'!$J50+AJ$21*'Sales Ramp'!$K50</f>
        <v>157483.3333</v>
      </c>
      <c r="AK35" s="29">
        <f>AK$12*'Sales Ramp'!$B50+AK$13*'Sales Ramp'!$C50+AK$14*'Sales Ramp'!$D50+AK$15*'Sales Ramp'!$E50+AK$16*'Sales Ramp'!$F50+AK$17*'Sales Ramp'!$G50+AK$18*'Sales Ramp'!$H50+AK$19*'Sales Ramp'!$I50+AK$20*'Sales Ramp'!$J50+AK$21*'Sales Ramp'!$K50</f>
        <v>162066.6667</v>
      </c>
    </row>
    <row r="36" ht="13.5" customHeight="1">
      <c r="A36" s="27" t="s">
        <v>95</v>
      </c>
      <c r="B36" s="29">
        <f>B$22*'Sales Ramp'!B51</f>
        <v>2500</v>
      </c>
      <c r="C36" s="29">
        <f>C$22*'Sales Ramp'!C51</f>
        <v>5000</v>
      </c>
      <c r="D36" s="29">
        <f>D$22*'Sales Ramp'!D51</f>
        <v>7500</v>
      </c>
      <c r="E36" s="29">
        <f>E$22*'Sales Ramp'!E51</f>
        <v>10000</v>
      </c>
      <c r="F36" s="29">
        <f>F$22*'Sales Ramp'!F51</f>
        <v>12500</v>
      </c>
      <c r="G36" s="29">
        <f>G$22*'Sales Ramp'!G51</f>
        <v>15000</v>
      </c>
      <c r="H36" s="29">
        <f>H$22*'Sales Ramp'!H51</f>
        <v>17500</v>
      </c>
      <c r="I36" s="29">
        <f>I$22*'Sales Ramp'!I51</f>
        <v>20000</v>
      </c>
      <c r="J36" s="29">
        <f>J$22*'Sales Ramp'!J51</f>
        <v>22500</v>
      </c>
      <c r="K36" s="29">
        <f>K$22*'Sales Ramp'!K51</f>
        <v>25000</v>
      </c>
      <c r="L36" s="29">
        <f>L$22*'Sales Ramp'!L51</f>
        <v>27500</v>
      </c>
      <c r="M36" s="29">
        <f>M$22*'Sales Ramp'!M51</f>
        <v>30000</v>
      </c>
      <c r="N36" s="29">
        <f>N$22*'Sales Ramp'!N51</f>
        <v>32500</v>
      </c>
      <c r="O36" s="29">
        <f>O$22*'Sales Ramp'!O51</f>
        <v>35000</v>
      </c>
      <c r="P36" s="29">
        <f>P$22*'Sales Ramp'!P51</f>
        <v>37500</v>
      </c>
      <c r="Q36" s="29">
        <f>Q$22*'Sales Ramp'!Q51</f>
        <v>40000</v>
      </c>
      <c r="R36" s="29">
        <f>R$22*'Sales Ramp'!R51</f>
        <v>42500</v>
      </c>
      <c r="S36" s="29">
        <f>S$22*'Sales Ramp'!S51</f>
        <v>45000</v>
      </c>
      <c r="T36" s="29">
        <f>T$22*'Sales Ramp'!T51</f>
        <v>47500</v>
      </c>
      <c r="U36" s="29">
        <f>U$22*'Sales Ramp'!U51</f>
        <v>50000</v>
      </c>
      <c r="V36" s="29">
        <f>V$22*'Sales Ramp'!V51</f>
        <v>52500</v>
      </c>
      <c r="W36" s="29">
        <f>W$22*'Sales Ramp'!W51</f>
        <v>55000</v>
      </c>
      <c r="X36" s="29">
        <f>X$22*'Sales Ramp'!X51</f>
        <v>57500</v>
      </c>
      <c r="Y36" s="29">
        <f>Y$22*'Sales Ramp'!Y51</f>
        <v>60000</v>
      </c>
      <c r="Z36" s="29">
        <f>Z$22*'Sales Ramp'!Z51</f>
        <v>62500</v>
      </c>
      <c r="AA36" s="29">
        <f>AA$22*'Sales Ramp'!AA51</f>
        <v>65000</v>
      </c>
      <c r="AB36" s="29">
        <f>AB$22*'Sales Ramp'!AB51</f>
        <v>67500</v>
      </c>
      <c r="AC36" s="29">
        <f>AC$22*'Sales Ramp'!AC51</f>
        <v>70000</v>
      </c>
      <c r="AD36" s="29">
        <f>AD$22*'Sales Ramp'!AD51</f>
        <v>72500</v>
      </c>
      <c r="AE36" s="29">
        <f>AE$22*'Sales Ramp'!AE51</f>
        <v>75000</v>
      </c>
      <c r="AF36" s="29">
        <f>AF$22*'Sales Ramp'!AF51</f>
        <v>77500</v>
      </c>
      <c r="AG36" s="29">
        <f>AG$22*'Sales Ramp'!AG51</f>
        <v>80000</v>
      </c>
      <c r="AH36" s="29">
        <f>AH$22*'Sales Ramp'!AH51</f>
        <v>82500</v>
      </c>
      <c r="AI36" s="29">
        <f>AI$22*'Sales Ramp'!AI51</f>
        <v>85000</v>
      </c>
      <c r="AJ36" s="29">
        <f>AJ$22*'Sales Ramp'!AJ51</f>
        <v>87500</v>
      </c>
      <c r="AK36" s="29">
        <f>AK$22*'Sales Ramp'!AK51</f>
        <v>90000</v>
      </c>
    </row>
    <row r="37" ht="13.5" customHeight="1">
      <c r="A37" s="70" t="s">
        <v>96</v>
      </c>
      <c r="B37" s="71">
        <f>B23*'Sales Ramp'!$B$26</f>
        <v>850.2213542</v>
      </c>
      <c r="C37" s="71">
        <f>C23*'Sales Ramp'!$B$26</f>
        <v>3655.951823</v>
      </c>
      <c r="D37" s="71">
        <f>D23*'Sales Ramp'!$B$26</f>
        <v>9267.41276</v>
      </c>
      <c r="E37" s="71">
        <f>E23*'Sales Ramp'!$B$26</f>
        <v>17769.6263</v>
      </c>
      <c r="F37" s="71">
        <f>F23*'Sales Ramp'!$B$26</f>
        <v>26271.83984</v>
      </c>
      <c r="G37" s="71">
        <f>G23*'Sales Ramp'!$B$26</f>
        <v>34774.05339</v>
      </c>
      <c r="H37" s="71">
        <f>H23*'Sales Ramp'!$B$26</f>
        <v>43276.26693</v>
      </c>
      <c r="I37" s="71">
        <f>I23*'Sales Ramp'!$B$26</f>
        <v>51778.48047</v>
      </c>
      <c r="J37" s="71">
        <f>J23*'Sales Ramp'!$B$26</f>
        <v>60280.69401</v>
      </c>
      <c r="K37" s="71">
        <f>K23*'Sales Ramp'!$B$26</f>
        <v>68782.90755</v>
      </c>
      <c r="L37" s="71">
        <f>L23*'Sales Ramp'!$B$26</f>
        <v>77285.12109</v>
      </c>
      <c r="M37" s="71">
        <f>M23*'Sales Ramp'!$B$26</f>
        <v>85787.33464</v>
      </c>
      <c r="N37" s="71">
        <f>N23*'Sales Ramp'!$B$26</f>
        <v>94289.54818</v>
      </c>
      <c r="O37" s="71">
        <f>O23*'Sales Ramp'!$B$26</f>
        <v>102791.7617</v>
      </c>
      <c r="P37" s="71">
        <f>P23*'Sales Ramp'!$B$26</f>
        <v>111293.9753</v>
      </c>
      <c r="Q37" s="71">
        <f>Q23*'Sales Ramp'!$B$26</f>
        <v>119796.1888</v>
      </c>
      <c r="R37" s="71">
        <f>R23*'Sales Ramp'!$B$26</f>
        <v>128298.4023</v>
      </c>
      <c r="S37" s="71">
        <f>S23*'Sales Ramp'!$B$26</f>
        <v>136800.6159</v>
      </c>
      <c r="T37" s="71">
        <f>T23*'Sales Ramp'!$B$26</f>
        <v>145302.8294</v>
      </c>
      <c r="U37" s="71">
        <f>U23*'Sales Ramp'!$B$26</f>
        <v>153805.043</v>
      </c>
      <c r="V37" s="71">
        <f>V23*'Sales Ramp'!$B$26</f>
        <v>162307.2565</v>
      </c>
      <c r="W37" s="71">
        <f>W23*'Sales Ramp'!$B$26</f>
        <v>170809.4701</v>
      </c>
      <c r="X37" s="71">
        <f>X23*'Sales Ramp'!$B$26</f>
        <v>179311.6836</v>
      </c>
      <c r="Y37" s="71">
        <f>Y23*'Sales Ramp'!$B$26</f>
        <v>187813.8971</v>
      </c>
      <c r="Z37" s="71">
        <f>Z23*'Sales Ramp'!$B$26</f>
        <v>196316.1107</v>
      </c>
      <c r="AA37" s="71">
        <f>AA23*'Sales Ramp'!$B$26</f>
        <v>204818.3242</v>
      </c>
      <c r="AB37" s="71">
        <f>AB23*'Sales Ramp'!$B$26</f>
        <v>213320.5378</v>
      </c>
      <c r="AC37" s="71">
        <f>AC23*'Sales Ramp'!$B$26</f>
        <v>221822.7513</v>
      </c>
      <c r="AD37" s="71">
        <f>AD23*'Sales Ramp'!$B$26</f>
        <v>230324.9648</v>
      </c>
      <c r="AE37" s="71">
        <f>AE23*'Sales Ramp'!$B$26</f>
        <v>238827.1784</v>
      </c>
      <c r="AF37" s="71">
        <f>AF23*'Sales Ramp'!$B$26</f>
        <v>247329.3919</v>
      </c>
      <c r="AG37" s="71">
        <f>AG23*'Sales Ramp'!$B$26</f>
        <v>255831.6055</v>
      </c>
      <c r="AH37" s="71">
        <f>AH23*'Sales Ramp'!$B$26</f>
        <v>264333.819</v>
      </c>
      <c r="AI37" s="71">
        <f>AI23*'Sales Ramp'!$B$26</f>
        <v>272836.0326</v>
      </c>
      <c r="AJ37" s="71">
        <f>AJ23*'Sales Ramp'!$B$26</f>
        <v>281338.2461</v>
      </c>
      <c r="AK37" s="71">
        <f>AK23*'Sales Ramp'!$B$26</f>
        <v>289840.4596</v>
      </c>
    </row>
    <row r="38" ht="15.0" customHeight="1">
      <c r="A38" s="72" t="s">
        <v>97</v>
      </c>
      <c r="B38" s="73">
        <f t="shared" ref="B38:AK38" si="14">SUM(B34:B37)</f>
        <v>12100.22135</v>
      </c>
      <c r="C38" s="73">
        <f t="shared" si="14"/>
        <v>24780.95182</v>
      </c>
      <c r="D38" s="73">
        <f t="shared" si="14"/>
        <v>40084.07943</v>
      </c>
      <c r="E38" s="73">
        <f t="shared" si="14"/>
        <v>59836.29297</v>
      </c>
      <c r="F38" s="73">
        <f t="shared" si="14"/>
        <v>79588.50651</v>
      </c>
      <c r="G38" s="73">
        <f t="shared" si="14"/>
        <v>99340.72005</v>
      </c>
      <c r="H38" s="73">
        <f t="shared" si="14"/>
        <v>119092.9336</v>
      </c>
      <c r="I38" s="73">
        <f t="shared" si="14"/>
        <v>138845.1471</v>
      </c>
      <c r="J38" s="73">
        <f t="shared" si="14"/>
        <v>158597.3607</v>
      </c>
      <c r="K38" s="73">
        <f t="shared" si="14"/>
        <v>178349.5742</v>
      </c>
      <c r="L38" s="73">
        <f t="shared" si="14"/>
        <v>198101.7878</v>
      </c>
      <c r="M38" s="73">
        <f t="shared" si="14"/>
        <v>217854.0013</v>
      </c>
      <c r="N38" s="73">
        <f t="shared" si="14"/>
        <v>237606.2148</v>
      </c>
      <c r="O38" s="73">
        <f t="shared" si="14"/>
        <v>257358.4284</v>
      </c>
      <c r="P38" s="73">
        <f t="shared" si="14"/>
        <v>277110.6419</v>
      </c>
      <c r="Q38" s="73">
        <f t="shared" si="14"/>
        <v>296862.8555</v>
      </c>
      <c r="R38" s="73">
        <f t="shared" si="14"/>
        <v>316615.069</v>
      </c>
      <c r="S38" s="73">
        <f t="shared" si="14"/>
        <v>336367.2826</v>
      </c>
      <c r="T38" s="73">
        <f t="shared" si="14"/>
        <v>356119.4961</v>
      </c>
      <c r="U38" s="73">
        <f t="shared" si="14"/>
        <v>375871.7096</v>
      </c>
      <c r="V38" s="73">
        <f t="shared" si="14"/>
        <v>395623.9232</v>
      </c>
      <c r="W38" s="73">
        <f t="shared" si="14"/>
        <v>415376.1367</v>
      </c>
      <c r="X38" s="73">
        <f t="shared" si="14"/>
        <v>435128.3503</v>
      </c>
      <c r="Y38" s="73">
        <f t="shared" si="14"/>
        <v>454880.5638</v>
      </c>
      <c r="Z38" s="73">
        <f t="shared" si="14"/>
        <v>474632.7773</v>
      </c>
      <c r="AA38" s="73">
        <f t="shared" si="14"/>
        <v>494384.9909</v>
      </c>
      <c r="AB38" s="73">
        <f t="shared" si="14"/>
        <v>514137.2044</v>
      </c>
      <c r="AC38" s="73">
        <f t="shared" si="14"/>
        <v>533889.418</v>
      </c>
      <c r="AD38" s="73">
        <f t="shared" si="14"/>
        <v>553641.6315</v>
      </c>
      <c r="AE38" s="73">
        <f t="shared" si="14"/>
        <v>573393.8451</v>
      </c>
      <c r="AF38" s="73">
        <f t="shared" si="14"/>
        <v>593146.0586</v>
      </c>
      <c r="AG38" s="73">
        <f t="shared" si="14"/>
        <v>612898.2721</v>
      </c>
      <c r="AH38" s="73">
        <f t="shared" si="14"/>
        <v>632650.4857</v>
      </c>
      <c r="AI38" s="73">
        <f t="shared" si="14"/>
        <v>652402.6992</v>
      </c>
      <c r="AJ38" s="73">
        <f t="shared" si="14"/>
        <v>672154.9128</v>
      </c>
      <c r="AK38" s="73">
        <f t="shared" si="14"/>
        <v>691907.1263</v>
      </c>
    </row>
    <row r="39" ht="15.0" customHeight="1">
      <c r="A39" s="74" t="s">
        <v>98</v>
      </c>
      <c r="B39" s="75">
        <f>B38</f>
        <v>12100.22135</v>
      </c>
      <c r="C39" s="75">
        <f t="shared" ref="C39:AK39" si="15">C38+B39</f>
        <v>36881.17318</v>
      </c>
      <c r="D39" s="75">
        <f t="shared" si="15"/>
        <v>76965.2526</v>
      </c>
      <c r="E39" s="75">
        <f t="shared" si="15"/>
        <v>136801.5456</v>
      </c>
      <c r="F39" s="75">
        <f t="shared" si="15"/>
        <v>216390.0521</v>
      </c>
      <c r="G39" s="75">
        <f t="shared" si="15"/>
        <v>315730.7721</v>
      </c>
      <c r="H39" s="75">
        <f t="shared" si="15"/>
        <v>434823.7057</v>
      </c>
      <c r="I39" s="75">
        <f t="shared" si="15"/>
        <v>573668.8529</v>
      </c>
      <c r="J39" s="75">
        <f t="shared" si="15"/>
        <v>732266.2135</v>
      </c>
      <c r="K39" s="75">
        <f t="shared" si="15"/>
        <v>910615.7878</v>
      </c>
      <c r="L39" s="75">
        <f t="shared" si="15"/>
        <v>1108717.576</v>
      </c>
      <c r="M39" s="75">
        <f t="shared" si="15"/>
        <v>1326571.577</v>
      </c>
      <c r="N39" s="75">
        <f t="shared" si="15"/>
        <v>1564177.792</v>
      </c>
      <c r="O39" s="75">
        <f t="shared" si="15"/>
        <v>1821536.22</v>
      </c>
      <c r="P39" s="75">
        <f t="shared" si="15"/>
        <v>2098646.862</v>
      </c>
      <c r="Q39" s="75">
        <f t="shared" si="15"/>
        <v>2395509.717</v>
      </c>
      <c r="R39" s="75">
        <f t="shared" si="15"/>
        <v>2712124.786</v>
      </c>
      <c r="S39" s="75">
        <f t="shared" si="15"/>
        <v>3048492.069</v>
      </c>
      <c r="T39" s="75">
        <f t="shared" si="15"/>
        <v>3404611.565</v>
      </c>
      <c r="U39" s="75">
        <f t="shared" si="15"/>
        <v>3780483.275</v>
      </c>
      <c r="V39" s="75">
        <f t="shared" si="15"/>
        <v>4176107.198</v>
      </c>
      <c r="W39" s="75">
        <f t="shared" si="15"/>
        <v>4591483.335</v>
      </c>
      <c r="X39" s="75">
        <f t="shared" si="15"/>
        <v>5026611.685</v>
      </c>
      <c r="Y39" s="75">
        <f t="shared" si="15"/>
        <v>5481492.249</v>
      </c>
      <c r="Z39" s="75">
        <f t="shared" si="15"/>
        <v>5956125.026</v>
      </c>
      <c r="AA39" s="75">
        <f t="shared" si="15"/>
        <v>6450510.017</v>
      </c>
      <c r="AB39" s="75">
        <f t="shared" si="15"/>
        <v>6964647.221</v>
      </c>
      <c r="AC39" s="75">
        <f t="shared" si="15"/>
        <v>7498536.639</v>
      </c>
      <c r="AD39" s="75">
        <f t="shared" si="15"/>
        <v>8052178.271</v>
      </c>
      <c r="AE39" s="75">
        <f t="shared" si="15"/>
        <v>8625572.116</v>
      </c>
      <c r="AF39" s="75">
        <f t="shared" si="15"/>
        <v>9218718.174</v>
      </c>
      <c r="AG39" s="75">
        <f t="shared" si="15"/>
        <v>9831616.447</v>
      </c>
      <c r="AH39" s="75">
        <f t="shared" si="15"/>
        <v>10464266.93</v>
      </c>
      <c r="AI39" s="75">
        <f t="shared" si="15"/>
        <v>11116669.63</v>
      </c>
      <c r="AJ39" s="75">
        <f t="shared" si="15"/>
        <v>11788824.54</v>
      </c>
      <c r="AK39" s="75">
        <f t="shared" si="15"/>
        <v>12480731.67</v>
      </c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ht="16.5" customHeight="1">
      <c r="A41" s="64" t="s">
        <v>99</v>
      </c>
      <c r="B41" s="65" t="s">
        <v>50</v>
      </c>
      <c r="C41" s="65" t="s">
        <v>51</v>
      </c>
      <c r="D41" s="65" t="s">
        <v>52</v>
      </c>
      <c r="E41" s="65" t="s">
        <v>53</v>
      </c>
      <c r="F41" s="65" t="s">
        <v>54</v>
      </c>
      <c r="G41" s="65" t="s">
        <v>55</v>
      </c>
      <c r="H41" s="65" t="s">
        <v>56</v>
      </c>
      <c r="I41" s="65" t="s">
        <v>57</v>
      </c>
      <c r="J41" s="65" t="s">
        <v>58</v>
      </c>
      <c r="K41" s="65" t="s">
        <v>59</v>
      </c>
      <c r="L41" s="65" t="s">
        <v>60</v>
      </c>
      <c r="M41" s="65" t="s">
        <v>61</v>
      </c>
      <c r="N41" s="65" t="s">
        <v>62</v>
      </c>
      <c r="O41" s="65" t="s">
        <v>63</v>
      </c>
      <c r="P41" s="65" t="s">
        <v>64</v>
      </c>
      <c r="Q41" s="65" t="s">
        <v>65</v>
      </c>
      <c r="R41" s="65" t="s">
        <v>66</v>
      </c>
      <c r="S41" s="65" t="s">
        <v>67</v>
      </c>
      <c r="T41" s="65" t="s">
        <v>68</v>
      </c>
      <c r="U41" s="65" t="s">
        <v>69</v>
      </c>
      <c r="V41" s="65" t="s">
        <v>70</v>
      </c>
      <c r="W41" s="65" t="s">
        <v>71</v>
      </c>
      <c r="X41" s="65" t="s">
        <v>72</v>
      </c>
      <c r="Y41" s="65" t="s">
        <v>73</v>
      </c>
      <c r="Z41" s="65" t="s">
        <v>74</v>
      </c>
      <c r="AA41" s="65" t="s">
        <v>75</v>
      </c>
      <c r="AB41" s="65" t="s">
        <v>76</v>
      </c>
      <c r="AC41" s="65" t="s">
        <v>77</v>
      </c>
      <c r="AD41" s="65" t="s">
        <v>78</v>
      </c>
      <c r="AE41" s="65" t="s">
        <v>79</v>
      </c>
      <c r="AF41" s="65" t="s">
        <v>80</v>
      </c>
      <c r="AG41" s="65" t="s">
        <v>81</v>
      </c>
      <c r="AH41" s="65" t="s">
        <v>82</v>
      </c>
      <c r="AI41" s="65" t="s">
        <v>83</v>
      </c>
      <c r="AJ41" s="65" t="s">
        <v>84</v>
      </c>
      <c r="AK41" s="65" t="s">
        <v>85</v>
      </c>
    </row>
    <row r="42" ht="15.0" customHeight="1">
      <c r="A42" s="66" t="s">
        <v>100</v>
      </c>
      <c r="B42" s="29">
        <f>B28*'Sales Ramp'!$B$20-B38</f>
        <v>-11864.11024</v>
      </c>
      <c r="C42" s="29">
        <f>C28*'Sales Ramp'!$B$20-C38</f>
        <v>-23535.46571</v>
      </c>
      <c r="D42" s="29">
        <f>D28*'Sales Ramp'!$B$20-D38</f>
        <v>-36296.11936</v>
      </c>
      <c r="E42" s="29">
        <f>E28*'Sales Ramp'!$B$20-E38</f>
        <v>-51208.30968</v>
      </c>
      <c r="F42" s="29">
        <f>F28*'Sales Ramp'!$B$20-F38</f>
        <v>-63880.38947</v>
      </c>
      <c r="G42" s="29">
        <f>G28*'Sales Ramp'!$B$20-G38</f>
        <v>-74368.36149</v>
      </c>
      <c r="H42" s="29">
        <f>H28*'Sales Ramp'!$B$20-H38</f>
        <v>-82726.82844</v>
      </c>
      <c r="I42" s="29">
        <f>I28*'Sales Ramp'!$B$20-I38</f>
        <v>-89009.02795</v>
      </c>
      <c r="J42" s="29">
        <f>J28*'Sales Ramp'!$B$20-J38</f>
        <v>-93266.86669</v>
      </c>
      <c r="K42" s="29">
        <f>K28*'Sales Ramp'!$B$20-K38</f>
        <v>-95550.95369</v>
      </c>
      <c r="L42" s="29">
        <f>L28*'Sales Ramp'!$B$20-L38</f>
        <v>-95910.63275</v>
      </c>
      <c r="M42" s="29">
        <f>M28*'Sales Ramp'!$B$20-M38</f>
        <v>-94394.01405</v>
      </c>
      <c r="N42" s="29">
        <f>N28*'Sales Ramp'!$B$20-N38</f>
        <v>-91048.00505</v>
      </c>
      <c r="O42" s="29">
        <f>O28*'Sales Ramp'!$B$20-O38</f>
        <v>-85918.34051</v>
      </c>
      <c r="P42" s="29">
        <f>P28*'Sales Ramp'!$B$20-P38</f>
        <v>-79049.6118</v>
      </c>
      <c r="Q42" s="29">
        <f>Q28*'Sales Ramp'!$B$20-Q38</f>
        <v>-70485.29554</v>
      </c>
      <c r="R42" s="29">
        <f>R28*'Sales Ramp'!$B$20-R38</f>
        <v>-60267.78141</v>
      </c>
      <c r="S42" s="29">
        <f>S28*'Sales Ramp'!$B$20-S38</f>
        <v>-48438.39937</v>
      </c>
      <c r="T42" s="29">
        <f>T28*'Sales Ramp'!$B$20-T38</f>
        <v>-35037.4461</v>
      </c>
      <c r="U42" s="29">
        <f>U28*'Sales Ramp'!$B$20-U38</f>
        <v>-20104.21089</v>
      </c>
      <c r="V42" s="29">
        <f>V28*'Sales Ramp'!$B$20-V38</f>
        <v>-3677.000791</v>
      </c>
      <c r="W42" s="29">
        <f>W28*'Sales Ramp'!$B$20-W38</f>
        <v>14206.83483</v>
      </c>
      <c r="X42" s="29">
        <f>X28*'Sales Ramp'!$B$20-X38</f>
        <v>33510.88033</v>
      </c>
      <c r="Y42" s="29">
        <f>Y28*'Sales Ramp'!$B$20-Y38</f>
        <v>54199.63047</v>
      </c>
      <c r="Z42" s="29">
        <f>Z28*'Sales Ramp'!$B$20-Z38</f>
        <v>76238.46763</v>
      </c>
      <c r="AA42" s="29">
        <f>AA28*'Sales Ramp'!$B$20-AA38</f>
        <v>99593.63963</v>
      </c>
      <c r="AB42" s="29">
        <f>AB28*'Sales Ramp'!$B$20-AB38</f>
        <v>124232.2381</v>
      </c>
      <c r="AC42" s="29">
        <f>AC28*'Sales Ramp'!$B$20-AC38</f>
        <v>150122.1774</v>
      </c>
      <c r="AD42" s="29">
        <f>AD28*'Sales Ramp'!$B$20-AD38</f>
        <v>177232.174</v>
      </c>
      <c r="AE42" s="29">
        <f>AE28*'Sales Ramp'!$B$20-AE38</f>
        <v>205531.7264</v>
      </c>
      <c r="AF42" s="29">
        <f>AF28*'Sales Ramp'!$B$20-AF38</f>
        <v>234991.0958</v>
      </c>
      <c r="AG42" s="29">
        <f>AG28*'Sales Ramp'!$B$20-AG38</f>
        <v>265581.2867</v>
      </c>
      <c r="AH42" s="29">
        <f>AH28*'Sales Ramp'!$B$20-AH38</f>
        <v>297274.0287</v>
      </c>
      <c r="AI42" s="29">
        <f>AI28*'Sales Ramp'!$B$20-AI38</f>
        <v>330041.7578</v>
      </c>
      <c r="AJ42" s="29">
        <f>AJ28*'Sales Ramp'!$B$20-AJ38</f>
        <v>363857.5995</v>
      </c>
      <c r="AK42" s="29">
        <f>AK28*'Sales Ramp'!$B$20-AK38</f>
        <v>398695.3509</v>
      </c>
    </row>
    <row r="43" ht="13.5" customHeight="1">
      <c r="A43" s="27" t="s">
        <v>101</v>
      </c>
      <c r="B43" s="29">
        <f t="shared" ref="B43:AK43" si="16">B30-B39</f>
        <v>-11864.11024</v>
      </c>
      <c r="C43" s="29">
        <f t="shared" si="16"/>
        <v>-35399.57595</v>
      </c>
      <c r="D43" s="29">
        <f t="shared" si="16"/>
        <v>-71695.69531</v>
      </c>
      <c r="E43" s="29">
        <f t="shared" si="16"/>
        <v>-122904.005</v>
      </c>
      <c r="F43" s="29">
        <f t="shared" si="16"/>
        <v>-186784.3945</v>
      </c>
      <c r="G43" s="29">
        <f t="shared" si="16"/>
        <v>-261152.756</v>
      </c>
      <c r="H43" s="29">
        <f t="shared" si="16"/>
        <v>-343879.5844</v>
      </c>
      <c r="I43" s="29">
        <f t="shared" si="16"/>
        <v>-432888.6123</v>
      </c>
      <c r="J43" s="29">
        <f t="shared" si="16"/>
        <v>-526155.479</v>
      </c>
      <c r="K43" s="29">
        <f t="shared" si="16"/>
        <v>-621706.4327</v>
      </c>
      <c r="L43" s="29">
        <f t="shared" si="16"/>
        <v>-717617.0655</v>
      </c>
      <c r="M43" s="29">
        <f t="shared" si="16"/>
        <v>-812011.0795</v>
      </c>
      <c r="N43" s="29">
        <f t="shared" si="16"/>
        <v>-903059.0846</v>
      </c>
      <c r="O43" s="29">
        <f t="shared" si="16"/>
        <v>-988977.4251</v>
      </c>
      <c r="P43" s="29">
        <f t="shared" si="16"/>
        <v>-1068027.037</v>
      </c>
      <c r="Q43" s="29">
        <f t="shared" si="16"/>
        <v>-1138512.332</v>
      </c>
      <c r="R43" s="29">
        <f t="shared" si="16"/>
        <v>-1198780.114</v>
      </c>
      <c r="S43" s="29">
        <f t="shared" si="16"/>
        <v>-1247218.513</v>
      </c>
      <c r="T43" s="29">
        <f t="shared" si="16"/>
        <v>-1282255.959</v>
      </c>
      <c r="U43" s="29">
        <f t="shared" si="16"/>
        <v>-1302360.17</v>
      </c>
      <c r="V43" s="29">
        <f t="shared" si="16"/>
        <v>-1306037.171</v>
      </c>
      <c r="W43" s="29">
        <f t="shared" si="16"/>
        <v>-1291830.336</v>
      </c>
      <c r="X43" s="29">
        <f t="shared" si="16"/>
        <v>-1258319.456</v>
      </c>
      <c r="Y43" s="29">
        <f t="shared" si="16"/>
        <v>-1204119.825</v>
      </c>
      <c r="Z43" s="29">
        <f t="shared" si="16"/>
        <v>-1127881.358</v>
      </c>
      <c r="AA43" s="29">
        <f t="shared" si="16"/>
        <v>-1028287.718</v>
      </c>
      <c r="AB43" s="29">
        <f t="shared" si="16"/>
        <v>-904055.48</v>
      </c>
      <c r="AC43" s="29">
        <f t="shared" si="16"/>
        <v>-753933.3026</v>
      </c>
      <c r="AD43" s="29">
        <f t="shared" si="16"/>
        <v>-576701.1287</v>
      </c>
      <c r="AE43" s="29">
        <f t="shared" si="16"/>
        <v>-371169.4023</v>
      </c>
      <c r="AF43" s="29">
        <f t="shared" si="16"/>
        <v>-136178.3065</v>
      </c>
      <c r="AG43" s="29">
        <f t="shared" si="16"/>
        <v>129402.9803</v>
      </c>
      <c r="AH43" s="29">
        <f t="shared" si="16"/>
        <v>426677.0089</v>
      </c>
      <c r="AI43" s="29">
        <f t="shared" si="16"/>
        <v>756718.7667</v>
      </c>
      <c r="AJ43" s="29">
        <f t="shared" si="16"/>
        <v>1120576.366</v>
      </c>
      <c r="AK43" s="29">
        <f t="shared" si="16"/>
        <v>1519271.717</v>
      </c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ht="13.5" customHeight="1">
      <c r="A46" s="27" t="s">
        <v>128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ht="16.5" customHeight="1">
      <c r="A48" s="64" t="s">
        <v>129</v>
      </c>
      <c r="B48" s="65" t="s">
        <v>50</v>
      </c>
      <c r="C48" s="65" t="s">
        <v>51</v>
      </c>
      <c r="D48" s="65" t="s">
        <v>52</v>
      </c>
      <c r="E48" s="65" t="s">
        <v>53</v>
      </c>
      <c r="F48" s="65" t="s">
        <v>54</v>
      </c>
      <c r="G48" s="65" t="s">
        <v>55</v>
      </c>
      <c r="H48" s="65" t="s">
        <v>56</v>
      </c>
      <c r="I48" s="65" t="s">
        <v>57</v>
      </c>
      <c r="J48" s="65" t="s">
        <v>58</v>
      </c>
      <c r="K48" s="65" t="s">
        <v>59</v>
      </c>
      <c r="L48" s="65" t="s">
        <v>60</v>
      </c>
      <c r="M48" s="65" t="s">
        <v>61</v>
      </c>
      <c r="N48" s="65" t="s">
        <v>62</v>
      </c>
      <c r="O48" s="65" t="s">
        <v>63</v>
      </c>
      <c r="P48" s="65" t="s">
        <v>64</v>
      </c>
      <c r="Q48" s="65" t="s">
        <v>65</v>
      </c>
      <c r="R48" s="65" t="s">
        <v>66</v>
      </c>
      <c r="S48" s="65" t="s">
        <v>67</v>
      </c>
      <c r="T48" s="65" t="s">
        <v>68</v>
      </c>
      <c r="U48" s="65" t="s">
        <v>69</v>
      </c>
      <c r="V48" s="65" t="s">
        <v>70</v>
      </c>
      <c r="W48" s="65" t="s">
        <v>71</v>
      </c>
      <c r="X48" s="65" t="s">
        <v>72</v>
      </c>
      <c r="Y48" s="65" t="s">
        <v>73</v>
      </c>
      <c r="Z48" s="65" t="s">
        <v>74</v>
      </c>
      <c r="AA48" s="65" t="s">
        <v>75</v>
      </c>
      <c r="AB48" s="65" t="s">
        <v>76</v>
      </c>
      <c r="AC48" s="65" t="s">
        <v>77</v>
      </c>
      <c r="AD48" s="65" t="s">
        <v>78</v>
      </c>
      <c r="AE48" s="65" t="s">
        <v>79</v>
      </c>
      <c r="AF48" s="65" t="s">
        <v>80</v>
      </c>
      <c r="AG48" s="65" t="s">
        <v>81</v>
      </c>
      <c r="AH48" s="65" t="s">
        <v>82</v>
      </c>
      <c r="AI48" s="65" t="s">
        <v>83</v>
      </c>
      <c r="AJ48" s="65" t="s">
        <v>84</v>
      </c>
      <c r="AK48" s="65" t="s">
        <v>85</v>
      </c>
    </row>
    <row r="49" ht="15.0" customHeight="1">
      <c r="A49" s="66" t="s">
        <v>130</v>
      </c>
      <c r="B49" s="29">
        <f t="shared" ref="B49:AK49" si="17">B28</f>
        <v>295.1388889</v>
      </c>
      <c r="C49" s="29">
        <f t="shared" si="17"/>
        <v>1556.857639</v>
      </c>
      <c r="D49" s="29">
        <f t="shared" si="17"/>
        <v>4734.950087</v>
      </c>
      <c r="E49" s="29">
        <f t="shared" si="17"/>
        <v>10784.97911</v>
      </c>
      <c r="F49" s="29">
        <f t="shared" si="17"/>
        <v>19635.1463</v>
      </c>
      <c r="G49" s="29">
        <f t="shared" si="17"/>
        <v>31215.4482</v>
      </c>
      <c r="H49" s="29">
        <f t="shared" si="17"/>
        <v>45457.63144</v>
      </c>
      <c r="I49" s="29">
        <f t="shared" si="17"/>
        <v>62295.14899</v>
      </c>
      <c r="J49" s="29">
        <f t="shared" si="17"/>
        <v>81663.11748</v>
      </c>
      <c r="K49" s="29">
        <f t="shared" si="17"/>
        <v>103498.2757</v>
      </c>
      <c r="L49" s="29">
        <f t="shared" si="17"/>
        <v>127738.9438</v>
      </c>
      <c r="M49" s="29">
        <f t="shared" si="17"/>
        <v>154324.9841</v>
      </c>
      <c r="N49" s="29">
        <f t="shared" si="17"/>
        <v>183197.7622</v>
      </c>
      <c r="O49" s="29">
        <f t="shared" si="17"/>
        <v>214300.1098</v>
      </c>
      <c r="P49" s="29">
        <f t="shared" si="17"/>
        <v>247576.2877</v>
      </c>
      <c r="Q49" s="29">
        <f t="shared" si="17"/>
        <v>282971.9499</v>
      </c>
      <c r="R49" s="29">
        <f t="shared" si="17"/>
        <v>320434.1095</v>
      </c>
      <c r="S49" s="29">
        <f t="shared" si="17"/>
        <v>359911.104</v>
      </c>
      <c r="T49" s="29">
        <f t="shared" si="17"/>
        <v>401352.5625</v>
      </c>
      <c r="U49" s="29">
        <f t="shared" si="17"/>
        <v>444709.3734</v>
      </c>
      <c r="V49" s="29">
        <f t="shared" si="17"/>
        <v>489933.653</v>
      </c>
      <c r="W49" s="29">
        <f t="shared" si="17"/>
        <v>536978.7144</v>
      </c>
      <c r="X49" s="29">
        <f t="shared" si="17"/>
        <v>585799.0382</v>
      </c>
      <c r="Y49" s="29">
        <f t="shared" si="17"/>
        <v>636350.2428</v>
      </c>
      <c r="Z49" s="29">
        <f t="shared" si="17"/>
        <v>688589.0562</v>
      </c>
      <c r="AA49" s="29">
        <f t="shared" si="17"/>
        <v>742473.2881</v>
      </c>
      <c r="AB49" s="29">
        <f t="shared" si="17"/>
        <v>797961.8032</v>
      </c>
      <c r="AC49" s="29">
        <f t="shared" si="17"/>
        <v>855014.4942</v>
      </c>
      <c r="AD49" s="29">
        <f t="shared" si="17"/>
        <v>913592.2568</v>
      </c>
      <c r="AE49" s="29">
        <f t="shared" si="17"/>
        <v>973656.9643</v>
      </c>
      <c r="AF49" s="29">
        <f t="shared" si="17"/>
        <v>1035171.443</v>
      </c>
      <c r="AG49" s="29">
        <f t="shared" si="17"/>
        <v>1098099.449</v>
      </c>
      <c r="AH49" s="29">
        <f t="shared" si="17"/>
        <v>1162405.643</v>
      </c>
      <c r="AI49" s="29">
        <f t="shared" si="17"/>
        <v>1228055.571</v>
      </c>
      <c r="AJ49" s="29">
        <f t="shared" si="17"/>
        <v>1295015.64</v>
      </c>
      <c r="AK49" s="29">
        <f t="shared" si="17"/>
        <v>1363253.097</v>
      </c>
    </row>
    <row r="50" ht="13.5" customHeight="1">
      <c r="A50" s="27" t="s">
        <v>131</v>
      </c>
      <c r="B50" s="29">
        <f>'Sales Ramp'!B99</f>
        <v>590.2777778</v>
      </c>
      <c r="C50" s="29">
        <f>'Sales Ramp'!C99</f>
        <v>3113.715278</v>
      </c>
      <c r="D50" s="29">
        <f>'Sales Ramp'!D99</f>
        <v>9469.900174</v>
      </c>
      <c r="E50" s="29">
        <f>'Sales Ramp'!E99</f>
        <v>21569.95822</v>
      </c>
      <c r="F50" s="29">
        <f>'Sales Ramp'!F99</f>
        <v>39270.2926</v>
      </c>
      <c r="G50" s="29">
        <f>'Sales Ramp'!G99</f>
        <v>62430.8964</v>
      </c>
      <c r="H50" s="29">
        <f>'Sales Ramp'!H99</f>
        <v>90915.26288</v>
      </c>
      <c r="I50" s="29">
        <f>'Sales Ramp'!I99</f>
        <v>124590.298</v>
      </c>
      <c r="J50" s="29">
        <f>'Sales Ramp'!J99</f>
        <v>163326.235</v>
      </c>
      <c r="K50" s="29">
        <f>'Sales Ramp'!K99</f>
        <v>206996.5513</v>
      </c>
      <c r="L50" s="29">
        <f>'Sales Ramp'!L99</f>
        <v>255477.8875</v>
      </c>
      <c r="M50" s="29">
        <f>'Sales Ramp'!M99</f>
        <v>308649.9681</v>
      </c>
      <c r="N50" s="29">
        <f>'Sales Ramp'!N99</f>
        <v>366395.5245</v>
      </c>
      <c r="O50" s="29">
        <f>'Sales Ramp'!O99</f>
        <v>428600.2197</v>
      </c>
      <c r="P50" s="29">
        <f>'Sales Ramp'!P99</f>
        <v>495152.5753</v>
      </c>
      <c r="Q50" s="29">
        <f>'Sales Ramp'!Q99</f>
        <v>565943.8998</v>
      </c>
      <c r="R50" s="29">
        <f>'Sales Ramp'!R99</f>
        <v>640868.219</v>
      </c>
      <c r="S50" s="29">
        <f>'Sales Ramp'!S99</f>
        <v>719822.208</v>
      </c>
      <c r="T50" s="29">
        <f>'Sales Ramp'!T99</f>
        <v>802705.125</v>
      </c>
      <c r="U50" s="29">
        <f>'Sales Ramp'!U99</f>
        <v>889418.7469</v>
      </c>
      <c r="V50" s="29">
        <f>'Sales Ramp'!V99</f>
        <v>979867.306</v>
      </c>
      <c r="W50" s="29">
        <f>'Sales Ramp'!W99</f>
        <v>1073957.429</v>
      </c>
      <c r="X50" s="29">
        <f>'Sales Ramp'!X99</f>
        <v>1171598.076</v>
      </c>
      <c r="Y50" s="29">
        <f>'Sales Ramp'!Y99</f>
        <v>1272700.486</v>
      </c>
      <c r="Z50" s="29">
        <f>'Sales Ramp'!Z99</f>
        <v>1377178.112</v>
      </c>
      <c r="AA50" s="29">
        <f>'Sales Ramp'!AA99</f>
        <v>1484946.576</v>
      </c>
      <c r="AB50" s="29">
        <f>'Sales Ramp'!AB99</f>
        <v>1595923.606</v>
      </c>
      <c r="AC50" s="29">
        <f>'Sales Ramp'!AC99</f>
        <v>1710028.988</v>
      </c>
      <c r="AD50" s="29">
        <f>'Sales Ramp'!AD99</f>
        <v>1827184.514</v>
      </c>
      <c r="AE50" s="29">
        <f>'Sales Ramp'!AE99</f>
        <v>1947313.929</v>
      </c>
      <c r="AF50" s="29">
        <f>'Sales Ramp'!AF99</f>
        <v>2070342.886</v>
      </c>
      <c r="AG50" s="29">
        <f>'Sales Ramp'!AG99</f>
        <v>2196198.897</v>
      </c>
      <c r="AH50" s="29">
        <f>'Sales Ramp'!AH99</f>
        <v>2324811.286</v>
      </c>
      <c r="AI50" s="29">
        <f>'Sales Ramp'!AI99</f>
        <v>2456111.143</v>
      </c>
      <c r="AJ50" s="29">
        <f>'Sales Ramp'!AJ99</f>
        <v>2590031.281</v>
      </c>
      <c r="AK50" s="29">
        <f>'Sales Ramp'!AK99</f>
        <v>2726506.193</v>
      </c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ht="16.5" customHeight="1">
      <c r="A53" s="64" t="s">
        <v>116</v>
      </c>
      <c r="B53" s="65" t="s">
        <v>50</v>
      </c>
      <c r="C53" s="65" t="s">
        <v>51</v>
      </c>
      <c r="D53" s="65" t="s">
        <v>52</v>
      </c>
      <c r="E53" s="65" t="s">
        <v>53</v>
      </c>
      <c r="F53" s="65" t="s">
        <v>54</v>
      </c>
      <c r="G53" s="65" t="s">
        <v>55</v>
      </c>
      <c r="H53" s="65" t="s">
        <v>56</v>
      </c>
      <c r="I53" s="65" t="s">
        <v>57</v>
      </c>
      <c r="J53" s="65" t="s">
        <v>58</v>
      </c>
      <c r="K53" s="65" t="s">
        <v>59</v>
      </c>
      <c r="L53" s="65" t="s">
        <v>60</v>
      </c>
      <c r="M53" s="65" t="s">
        <v>61</v>
      </c>
      <c r="N53" s="65" t="s">
        <v>62</v>
      </c>
      <c r="O53" s="65" t="s">
        <v>63</v>
      </c>
      <c r="P53" s="65" t="s">
        <v>64</v>
      </c>
      <c r="Q53" s="65" t="s">
        <v>65</v>
      </c>
      <c r="R53" s="65" t="s">
        <v>66</v>
      </c>
      <c r="S53" s="65" t="s">
        <v>67</v>
      </c>
      <c r="T53" s="65" t="s">
        <v>68</v>
      </c>
      <c r="U53" s="65" t="s">
        <v>69</v>
      </c>
      <c r="V53" s="65" t="s">
        <v>70</v>
      </c>
      <c r="W53" s="65" t="s">
        <v>71</v>
      </c>
      <c r="X53" s="65" t="s">
        <v>72</v>
      </c>
      <c r="Y53" s="65" t="s">
        <v>73</v>
      </c>
      <c r="Z53" s="65" t="s">
        <v>74</v>
      </c>
      <c r="AA53" s="65" t="s">
        <v>75</v>
      </c>
      <c r="AB53" s="65" t="s">
        <v>76</v>
      </c>
      <c r="AC53" s="65" t="s">
        <v>77</v>
      </c>
      <c r="AD53" s="65" t="s">
        <v>78</v>
      </c>
      <c r="AE53" s="65" t="s">
        <v>79</v>
      </c>
      <c r="AF53" s="65" t="s">
        <v>80</v>
      </c>
      <c r="AG53" s="65" t="s">
        <v>81</v>
      </c>
      <c r="AH53" s="65" t="s">
        <v>82</v>
      </c>
      <c r="AI53" s="65" t="s">
        <v>83</v>
      </c>
      <c r="AJ53" s="65" t="s">
        <v>84</v>
      </c>
      <c r="AK53" s="65" t="s">
        <v>85</v>
      </c>
    </row>
    <row r="54" ht="15.0" customHeight="1">
      <c r="A54" s="66" t="s">
        <v>130</v>
      </c>
      <c r="B54" s="29">
        <f t="shared" ref="B54:AK54" si="18">B31</f>
        <v>295.1388889</v>
      </c>
      <c r="C54" s="29">
        <f t="shared" si="18"/>
        <v>1261.71875</v>
      </c>
      <c r="D54" s="29">
        <f t="shared" si="18"/>
        <v>3178.092448</v>
      </c>
      <c r="E54" s="29">
        <f t="shared" si="18"/>
        <v>6050.029026</v>
      </c>
      <c r="F54" s="29">
        <f t="shared" si="18"/>
        <v>8850.167189</v>
      </c>
      <c r="G54" s="29">
        <f t="shared" si="18"/>
        <v>11580.3019</v>
      </c>
      <c r="H54" s="29">
        <f t="shared" si="18"/>
        <v>14242.18324</v>
      </c>
      <c r="I54" s="29">
        <f t="shared" si="18"/>
        <v>16837.51755</v>
      </c>
      <c r="J54" s="29">
        <f t="shared" si="18"/>
        <v>19367.9685</v>
      </c>
      <c r="K54" s="29">
        <f t="shared" si="18"/>
        <v>21835.15817</v>
      </c>
      <c r="L54" s="29">
        <f t="shared" si="18"/>
        <v>24240.66811</v>
      </c>
      <c r="M54" s="29">
        <f t="shared" si="18"/>
        <v>26586.04029</v>
      </c>
      <c r="N54" s="29">
        <f t="shared" si="18"/>
        <v>28872.77818</v>
      </c>
      <c r="O54" s="29">
        <f t="shared" si="18"/>
        <v>31102.34761</v>
      </c>
      <c r="P54" s="29">
        <f t="shared" si="18"/>
        <v>33276.17781</v>
      </c>
      <c r="Q54" s="29">
        <f t="shared" si="18"/>
        <v>35395.66225</v>
      </c>
      <c r="R54" s="29">
        <f t="shared" si="18"/>
        <v>37462.15959</v>
      </c>
      <c r="S54" s="29">
        <f t="shared" si="18"/>
        <v>39476.99448</v>
      </c>
      <c r="T54" s="29">
        <f t="shared" si="18"/>
        <v>41441.45851</v>
      </c>
      <c r="U54" s="29">
        <f t="shared" si="18"/>
        <v>43356.81094</v>
      </c>
      <c r="V54" s="29">
        <f t="shared" si="18"/>
        <v>45224.27955</v>
      </c>
      <c r="W54" s="29">
        <f t="shared" si="18"/>
        <v>47045.06145</v>
      </c>
      <c r="X54" s="29">
        <f t="shared" si="18"/>
        <v>48820.32381</v>
      </c>
      <c r="Y54" s="29">
        <f t="shared" si="18"/>
        <v>50551.2046</v>
      </c>
      <c r="Z54" s="29">
        <f t="shared" si="18"/>
        <v>52238.81337</v>
      </c>
      <c r="AA54" s="29">
        <f t="shared" si="18"/>
        <v>53884.23193</v>
      </c>
      <c r="AB54" s="29">
        <f t="shared" si="18"/>
        <v>55488.51502</v>
      </c>
      <c r="AC54" s="29">
        <f t="shared" si="18"/>
        <v>57052.69103</v>
      </c>
      <c r="AD54" s="29">
        <f t="shared" si="18"/>
        <v>58577.76265</v>
      </c>
      <c r="AE54" s="29">
        <f t="shared" si="18"/>
        <v>60064.70747</v>
      </c>
      <c r="AF54" s="29">
        <f t="shared" si="18"/>
        <v>61514.47867</v>
      </c>
      <c r="AG54" s="29">
        <f t="shared" si="18"/>
        <v>62928.00559</v>
      </c>
      <c r="AH54" s="29">
        <f t="shared" si="18"/>
        <v>64306.19434</v>
      </c>
      <c r="AI54" s="29">
        <f t="shared" si="18"/>
        <v>65649.92837</v>
      </c>
      <c r="AJ54" s="29">
        <f t="shared" si="18"/>
        <v>66960.06905</v>
      </c>
      <c r="AK54" s="29">
        <f t="shared" si="18"/>
        <v>68237.45621</v>
      </c>
    </row>
    <row r="55" ht="13.5" customHeight="1">
      <c r="A55" s="27" t="s">
        <v>131</v>
      </c>
      <c r="B55" s="29">
        <f>'Sales Ramp'!B102</f>
        <v>590.2777778</v>
      </c>
      <c r="C55" s="29">
        <f>'Sales Ramp'!C102</f>
        <v>2523.4375</v>
      </c>
      <c r="D55" s="29">
        <f>'Sales Ramp'!D102</f>
        <v>6356.184896</v>
      </c>
      <c r="E55" s="29">
        <f>'Sales Ramp'!E102</f>
        <v>12100.05805</v>
      </c>
      <c r="F55" s="29">
        <f>'Sales Ramp'!F102</f>
        <v>17700.33438</v>
      </c>
      <c r="G55" s="29">
        <f>'Sales Ramp'!G102</f>
        <v>23160.6038</v>
      </c>
      <c r="H55" s="29">
        <f>'Sales Ramp'!H102</f>
        <v>28484.36648</v>
      </c>
      <c r="I55" s="29">
        <f>'Sales Ramp'!I102</f>
        <v>33675.03509</v>
      </c>
      <c r="J55" s="29">
        <f>'Sales Ramp'!J102</f>
        <v>38735.937</v>
      </c>
      <c r="K55" s="29">
        <f>'Sales Ramp'!K102</f>
        <v>43670.31635</v>
      </c>
      <c r="L55" s="29">
        <f>'Sales Ramp'!L102</f>
        <v>48481.33622</v>
      </c>
      <c r="M55" s="29">
        <f>'Sales Ramp'!M102</f>
        <v>53172.08059</v>
      </c>
      <c r="N55" s="29">
        <f>'Sales Ramp'!N102</f>
        <v>57745.55635</v>
      </c>
      <c r="O55" s="29">
        <f>'Sales Ramp'!O102</f>
        <v>62204.69522</v>
      </c>
      <c r="P55" s="29">
        <f>'Sales Ramp'!P102</f>
        <v>66552.35562</v>
      </c>
      <c r="Q55" s="29">
        <f>'Sales Ramp'!Q102</f>
        <v>70791.32451</v>
      </c>
      <c r="R55" s="29">
        <f>'Sales Ramp'!R102</f>
        <v>74924.31917</v>
      </c>
      <c r="S55" s="29">
        <f>'Sales Ramp'!S102</f>
        <v>78953.98897</v>
      </c>
      <c r="T55" s="29">
        <f>'Sales Ramp'!T102</f>
        <v>82882.91702</v>
      </c>
      <c r="U55" s="29">
        <f>'Sales Ramp'!U102</f>
        <v>86713.62188</v>
      </c>
      <c r="V55" s="29">
        <f>'Sales Ramp'!V102</f>
        <v>90448.55911</v>
      </c>
      <c r="W55" s="29">
        <f>'Sales Ramp'!W102</f>
        <v>94090.12291</v>
      </c>
      <c r="X55" s="29">
        <f>'Sales Ramp'!X102</f>
        <v>97640.64761</v>
      </c>
      <c r="Y55" s="29">
        <f>'Sales Ramp'!Y102</f>
        <v>101102.4092</v>
      </c>
      <c r="Z55" s="29">
        <f>'Sales Ramp'!Z102</f>
        <v>104477.6267</v>
      </c>
      <c r="AA55" s="29">
        <f>'Sales Ramp'!AA102</f>
        <v>107768.4639</v>
      </c>
      <c r="AB55" s="29">
        <f>'Sales Ramp'!AB102</f>
        <v>110977.03</v>
      </c>
      <c r="AC55" s="29">
        <f>'Sales Ramp'!AC102</f>
        <v>114105.3821</v>
      </c>
      <c r="AD55" s="29">
        <f>'Sales Ramp'!AD102</f>
        <v>117155.5253</v>
      </c>
      <c r="AE55" s="29">
        <f>'Sales Ramp'!AE102</f>
        <v>120129.4149</v>
      </c>
      <c r="AF55" s="29">
        <f>'Sales Ramp'!AF102</f>
        <v>123028.9573</v>
      </c>
      <c r="AG55" s="29">
        <f>'Sales Ramp'!AG102</f>
        <v>125856.0112</v>
      </c>
      <c r="AH55" s="29">
        <f>'Sales Ramp'!AH102</f>
        <v>128612.3887</v>
      </c>
      <c r="AI55" s="29">
        <f>'Sales Ramp'!AI102</f>
        <v>131299.8567</v>
      </c>
      <c r="AJ55" s="29">
        <f>'Sales Ramp'!AJ102</f>
        <v>133920.1381</v>
      </c>
      <c r="AK55" s="29">
        <f>'Sales Ramp'!AK102</f>
        <v>136474.9124</v>
      </c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ht="16.5" customHeight="1">
      <c r="A58" s="64" t="s">
        <v>132</v>
      </c>
      <c r="B58" s="65" t="s">
        <v>50</v>
      </c>
      <c r="C58" s="65" t="s">
        <v>51</v>
      </c>
      <c r="D58" s="65" t="s">
        <v>52</v>
      </c>
      <c r="E58" s="65" t="s">
        <v>53</v>
      </c>
      <c r="F58" s="65" t="s">
        <v>54</v>
      </c>
      <c r="G58" s="65" t="s">
        <v>55</v>
      </c>
      <c r="H58" s="65" t="s">
        <v>56</v>
      </c>
      <c r="I58" s="65" t="s">
        <v>57</v>
      </c>
      <c r="J58" s="65" t="s">
        <v>58</v>
      </c>
      <c r="K58" s="65" t="s">
        <v>59</v>
      </c>
      <c r="L58" s="65" t="s">
        <v>60</v>
      </c>
      <c r="M58" s="65" t="s">
        <v>61</v>
      </c>
      <c r="N58" s="65" t="s">
        <v>62</v>
      </c>
      <c r="O58" s="65" t="s">
        <v>63</v>
      </c>
      <c r="P58" s="65" t="s">
        <v>64</v>
      </c>
      <c r="Q58" s="65" t="s">
        <v>65</v>
      </c>
      <c r="R58" s="65" t="s">
        <v>66</v>
      </c>
      <c r="S58" s="65" t="s">
        <v>67</v>
      </c>
      <c r="T58" s="65" t="s">
        <v>68</v>
      </c>
      <c r="U58" s="65" t="s">
        <v>69</v>
      </c>
      <c r="V58" s="65" t="s">
        <v>70</v>
      </c>
      <c r="W58" s="65" t="s">
        <v>71</v>
      </c>
      <c r="X58" s="65" t="s">
        <v>72</v>
      </c>
      <c r="Y58" s="65" t="s">
        <v>73</v>
      </c>
      <c r="Z58" s="65" t="s">
        <v>74</v>
      </c>
      <c r="AA58" s="65" t="s">
        <v>75</v>
      </c>
      <c r="AB58" s="65" t="s">
        <v>76</v>
      </c>
      <c r="AC58" s="65" t="s">
        <v>77</v>
      </c>
      <c r="AD58" s="65" t="s">
        <v>78</v>
      </c>
      <c r="AE58" s="65" t="s">
        <v>79</v>
      </c>
      <c r="AF58" s="65" t="s">
        <v>80</v>
      </c>
      <c r="AG58" s="65" t="s">
        <v>81</v>
      </c>
      <c r="AH58" s="65" t="s">
        <v>82</v>
      </c>
      <c r="AI58" s="65" t="s">
        <v>83</v>
      </c>
      <c r="AJ58" s="65" t="s">
        <v>84</v>
      </c>
      <c r="AK58" s="65" t="s">
        <v>85</v>
      </c>
    </row>
    <row r="59" ht="15.0" customHeight="1">
      <c r="A59" s="66" t="s">
        <v>130</v>
      </c>
      <c r="B59" s="29">
        <f t="shared" ref="B59:AK59" si="19">B42</f>
        <v>-11864.11024</v>
      </c>
      <c r="C59" s="29">
        <f t="shared" si="19"/>
        <v>-23535.46571</v>
      </c>
      <c r="D59" s="29">
        <f t="shared" si="19"/>
        <v>-36296.11936</v>
      </c>
      <c r="E59" s="29">
        <f t="shared" si="19"/>
        <v>-51208.30968</v>
      </c>
      <c r="F59" s="29">
        <f t="shared" si="19"/>
        <v>-63880.38947</v>
      </c>
      <c r="G59" s="29">
        <f t="shared" si="19"/>
        <v>-74368.36149</v>
      </c>
      <c r="H59" s="29">
        <f t="shared" si="19"/>
        <v>-82726.82844</v>
      </c>
      <c r="I59" s="29">
        <f t="shared" si="19"/>
        <v>-89009.02795</v>
      </c>
      <c r="J59" s="29">
        <f t="shared" si="19"/>
        <v>-93266.86669</v>
      </c>
      <c r="K59" s="29">
        <f t="shared" si="19"/>
        <v>-95550.95369</v>
      </c>
      <c r="L59" s="29">
        <f t="shared" si="19"/>
        <v>-95910.63275</v>
      </c>
      <c r="M59" s="29">
        <f t="shared" si="19"/>
        <v>-94394.01405</v>
      </c>
      <c r="N59" s="29">
        <f t="shared" si="19"/>
        <v>-91048.00505</v>
      </c>
      <c r="O59" s="29">
        <f t="shared" si="19"/>
        <v>-85918.34051</v>
      </c>
      <c r="P59" s="29">
        <f t="shared" si="19"/>
        <v>-79049.6118</v>
      </c>
      <c r="Q59" s="29">
        <f t="shared" si="19"/>
        <v>-70485.29554</v>
      </c>
      <c r="R59" s="29">
        <f t="shared" si="19"/>
        <v>-60267.78141</v>
      </c>
      <c r="S59" s="29">
        <f t="shared" si="19"/>
        <v>-48438.39937</v>
      </c>
      <c r="T59" s="29">
        <f t="shared" si="19"/>
        <v>-35037.4461</v>
      </c>
      <c r="U59" s="29">
        <f t="shared" si="19"/>
        <v>-20104.21089</v>
      </c>
      <c r="V59" s="29">
        <f t="shared" si="19"/>
        <v>-3677.000791</v>
      </c>
      <c r="W59" s="29">
        <f t="shared" si="19"/>
        <v>14206.83483</v>
      </c>
      <c r="X59" s="29">
        <f t="shared" si="19"/>
        <v>33510.88033</v>
      </c>
      <c r="Y59" s="29">
        <f t="shared" si="19"/>
        <v>54199.63047</v>
      </c>
      <c r="Z59" s="29">
        <f t="shared" si="19"/>
        <v>76238.46763</v>
      </c>
      <c r="AA59" s="29">
        <f t="shared" si="19"/>
        <v>99593.63963</v>
      </c>
      <c r="AB59" s="29">
        <f t="shared" si="19"/>
        <v>124232.2381</v>
      </c>
      <c r="AC59" s="29">
        <f t="shared" si="19"/>
        <v>150122.1774</v>
      </c>
      <c r="AD59" s="29">
        <f t="shared" si="19"/>
        <v>177232.174</v>
      </c>
      <c r="AE59" s="29">
        <f t="shared" si="19"/>
        <v>205531.7264</v>
      </c>
      <c r="AF59" s="29">
        <f t="shared" si="19"/>
        <v>234991.0958</v>
      </c>
      <c r="AG59" s="29">
        <f t="shared" si="19"/>
        <v>265581.2867</v>
      </c>
      <c r="AH59" s="29">
        <f t="shared" si="19"/>
        <v>297274.0287</v>
      </c>
      <c r="AI59" s="29">
        <f t="shared" si="19"/>
        <v>330041.7578</v>
      </c>
      <c r="AJ59" s="29">
        <f t="shared" si="19"/>
        <v>363857.5995</v>
      </c>
      <c r="AK59" s="29">
        <f t="shared" si="19"/>
        <v>398695.3509</v>
      </c>
    </row>
    <row r="60" ht="13.5" customHeight="1">
      <c r="A60" s="27" t="s">
        <v>131</v>
      </c>
      <c r="B60" s="29">
        <f>'Sales Ramp'!B113</f>
        <v>-23728.22049</v>
      </c>
      <c r="C60" s="29">
        <f>'Sales Ramp'!C113</f>
        <v>-47070.93142</v>
      </c>
      <c r="D60" s="29">
        <f>'Sales Ramp'!D113</f>
        <v>-72592.23872</v>
      </c>
      <c r="E60" s="29">
        <f>'Sales Ramp'!E113</f>
        <v>-102416.6194</v>
      </c>
      <c r="F60" s="29">
        <f>'Sales Ramp'!F113</f>
        <v>-127760.7789</v>
      </c>
      <c r="G60" s="29">
        <f>'Sales Ramp'!G113</f>
        <v>-148736.723</v>
      </c>
      <c r="H60" s="29">
        <f>'Sales Ramp'!H113</f>
        <v>-165453.6569</v>
      </c>
      <c r="I60" s="29">
        <f>'Sales Ramp'!I113</f>
        <v>-178018.0559</v>
      </c>
      <c r="J60" s="29">
        <f>'Sales Ramp'!J113</f>
        <v>-186533.7334</v>
      </c>
      <c r="K60" s="29">
        <f>'Sales Ramp'!K113</f>
        <v>-191101.9074</v>
      </c>
      <c r="L60" s="29">
        <f>'Sales Ramp'!L113</f>
        <v>-191821.2655</v>
      </c>
      <c r="M60" s="29">
        <f>'Sales Ramp'!M113</f>
        <v>-188788.0281</v>
      </c>
      <c r="N60" s="29">
        <f>'Sales Ramp'!N113</f>
        <v>-182096.0101</v>
      </c>
      <c r="O60" s="29">
        <f>'Sales Ramp'!O113</f>
        <v>-171836.681</v>
      </c>
      <c r="P60" s="29">
        <f>'Sales Ramp'!P113</f>
        <v>-158099.2236</v>
      </c>
      <c r="Q60" s="29">
        <f>'Sales Ramp'!Q113</f>
        <v>-140970.5911</v>
      </c>
      <c r="R60" s="29">
        <f>'Sales Ramp'!R113</f>
        <v>-120535.5628</v>
      </c>
      <c r="S60" s="29">
        <f>'Sales Ramp'!S113</f>
        <v>-96876.79873</v>
      </c>
      <c r="T60" s="29">
        <f>'Sales Ramp'!T113</f>
        <v>-70074.8922</v>
      </c>
      <c r="U60" s="29">
        <f>'Sales Ramp'!U113</f>
        <v>-40208.42178</v>
      </c>
      <c r="V60" s="29">
        <f>'Sales Ramp'!V113</f>
        <v>-7354.001581</v>
      </c>
      <c r="W60" s="29">
        <f>'Sales Ramp'!W113</f>
        <v>28413.66966</v>
      </c>
      <c r="X60" s="29">
        <f>'Sales Ramp'!X113</f>
        <v>67021.76067</v>
      </c>
      <c r="Y60" s="29">
        <f>'Sales Ramp'!Y113</f>
        <v>108399.2609</v>
      </c>
      <c r="Z60" s="29">
        <f>'Sales Ramp'!Z113</f>
        <v>152476.9353</v>
      </c>
      <c r="AA60" s="29">
        <f>'Sales Ramp'!AA113</f>
        <v>199187.2793</v>
      </c>
      <c r="AB60" s="29">
        <f>'Sales Ramp'!AB113</f>
        <v>248464.4762</v>
      </c>
      <c r="AC60" s="29">
        <f>'Sales Ramp'!AC113</f>
        <v>300244.3548</v>
      </c>
      <c r="AD60" s="29">
        <f>'Sales Ramp'!AD113</f>
        <v>354464.3479</v>
      </c>
      <c r="AE60" s="29">
        <f>'Sales Ramp'!AE113</f>
        <v>411063.4528</v>
      </c>
      <c r="AF60" s="29">
        <f>'Sales Ramp'!AF113</f>
        <v>469982.1916</v>
      </c>
      <c r="AG60" s="29">
        <f>'Sales Ramp'!AG113</f>
        <v>531162.5734</v>
      </c>
      <c r="AH60" s="29">
        <f>'Sales Ramp'!AH113</f>
        <v>594548.0573</v>
      </c>
      <c r="AI60" s="29">
        <f>'Sales Ramp'!AI113</f>
        <v>660083.5156</v>
      </c>
      <c r="AJ60" s="29">
        <f>'Sales Ramp'!AJ113</f>
        <v>727715.199</v>
      </c>
      <c r="AK60" s="29">
        <f>'Sales Ramp'!AK113</f>
        <v>797390.7019</v>
      </c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ht="16.5" customHeight="1">
      <c r="A63" s="64" t="s">
        <v>101</v>
      </c>
      <c r="B63" s="65" t="s">
        <v>50</v>
      </c>
      <c r="C63" s="65" t="s">
        <v>51</v>
      </c>
      <c r="D63" s="65" t="s">
        <v>52</v>
      </c>
      <c r="E63" s="65" t="s">
        <v>53</v>
      </c>
      <c r="F63" s="65" t="s">
        <v>54</v>
      </c>
      <c r="G63" s="65" t="s">
        <v>55</v>
      </c>
      <c r="H63" s="65" t="s">
        <v>56</v>
      </c>
      <c r="I63" s="65" t="s">
        <v>57</v>
      </c>
      <c r="J63" s="65" t="s">
        <v>58</v>
      </c>
      <c r="K63" s="65" t="s">
        <v>59</v>
      </c>
      <c r="L63" s="65" t="s">
        <v>60</v>
      </c>
      <c r="M63" s="65" t="s">
        <v>61</v>
      </c>
      <c r="N63" s="65" t="s">
        <v>62</v>
      </c>
      <c r="O63" s="65" t="s">
        <v>63</v>
      </c>
      <c r="P63" s="65" t="s">
        <v>64</v>
      </c>
      <c r="Q63" s="65" t="s">
        <v>65</v>
      </c>
      <c r="R63" s="65" t="s">
        <v>66</v>
      </c>
      <c r="S63" s="65" t="s">
        <v>67</v>
      </c>
      <c r="T63" s="65" t="s">
        <v>68</v>
      </c>
      <c r="U63" s="65" t="s">
        <v>69</v>
      </c>
      <c r="V63" s="65" t="s">
        <v>70</v>
      </c>
      <c r="W63" s="65" t="s">
        <v>71</v>
      </c>
      <c r="X63" s="65" t="s">
        <v>72</v>
      </c>
      <c r="Y63" s="65" t="s">
        <v>73</v>
      </c>
      <c r="Z63" s="65" t="s">
        <v>74</v>
      </c>
      <c r="AA63" s="65" t="s">
        <v>75</v>
      </c>
      <c r="AB63" s="65" t="s">
        <v>76</v>
      </c>
      <c r="AC63" s="65" t="s">
        <v>77</v>
      </c>
      <c r="AD63" s="65" t="s">
        <v>78</v>
      </c>
      <c r="AE63" s="65" t="s">
        <v>79</v>
      </c>
      <c r="AF63" s="65" t="s">
        <v>80</v>
      </c>
      <c r="AG63" s="65" t="s">
        <v>81</v>
      </c>
      <c r="AH63" s="65" t="s">
        <v>82</v>
      </c>
      <c r="AI63" s="65" t="s">
        <v>83</v>
      </c>
      <c r="AJ63" s="65" t="s">
        <v>84</v>
      </c>
      <c r="AK63" s="65" t="s">
        <v>85</v>
      </c>
    </row>
    <row r="64" ht="15.0" customHeight="1">
      <c r="A64" s="66" t="s">
        <v>130</v>
      </c>
      <c r="B64" s="29">
        <f t="shared" ref="B64:AK64" si="20">B43</f>
        <v>-11864.11024</v>
      </c>
      <c r="C64" s="29">
        <f t="shared" si="20"/>
        <v>-35399.57595</v>
      </c>
      <c r="D64" s="29">
        <f t="shared" si="20"/>
        <v>-71695.69531</v>
      </c>
      <c r="E64" s="29">
        <f t="shared" si="20"/>
        <v>-122904.005</v>
      </c>
      <c r="F64" s="29">
        <f t="shared" si="20"/>
        <v>-186784.3945</v>
      </c>
      <c r="G64" s="29">
        <f t="shared" si="20"/>
        <v>-261152.756</v>
      </c>
      <c r="H64" s="29">
        <f t="shared" si="20"/>
        <v>-343879.5844</v>
      </c>
      <c r="I64" s="29">
        <f t="shared" si="20"/>
        <v>-432888.6123</v>
      </c>
      <c r="J64" s="29">
        <f t="shared" si="20"/>
        <v>-526155.479</v>
      </c>
      <c r="K64" s="29">
        <f t="shared" si="20"/>
        <v>-621706.4327</v>
      </c>
      <c r="L64" s="29">
        <f t="shared" si="20"/>
        <v>-717617.0655</v>
      </c>
      <c r="M64" s="29">
        <f t="shared" si="20"/>
        <v>-812011.0795</v>
      </c>
      <c r="N64" s="29">
        <f t="shared" si="20"/>
        <v>-903059.0846</v>
      </c>
      <c r="O64" s="29">
        <f t="shared" si="20"/>
        <v>-988977.4251</v>
      </c>
      <c r="P64" s="29">
        <f t="shared" si="20"/>
        <v>-1068027.037</v>
      </c>
      <c r="Q64" s="29">
        <f t="shared" si="20"/>
        <v>-1138512.332</v>
      </c>
      <c r="R64" s="29">
        <f t="shared" si="20"/>
        <v>-1198780.114</v>
      </c>
      <c r="S64" s="29">
        <f t="shared" si="20"/>
        <v>-1247218.513</v>
      </c>
      <c r="T64" s="29">
        <f t="shared" si="20"/>
        <v>-1282255.959</v>
      </c>
      <c r="U64" s="29">
        <f t="shared" si="20"/>
        <v>-1302360.17</v>
      </c>
      <c r="V64" s="29">
        <f t="shared" si="20"/>
        <v>-1306037.171</v>
      </c>
      <c r="W64" s="29">
        <f t="shared" si="20"/>
        <v>-1291830.336</v>
      </c>
      <c r="X64" s="29">
        <f t="shared" si="20"/>
        <v>-1258319.456</v>
      </c>
      <c r="Y64" s="29">
        <f t="shared" si="20"/>
        <v>-1204119.825</v>
      </c>
      <c r="Z64" s="29">
        <f t="shared" si="20"/>
        <v>-1127881.358</v>
      </c>
      <c r="AA64" s="29">
        <f t="shared" si="20"/>
        <v>-1028287.718</v>
      </c>
      <c r="AB64" s="29">
        <f t="shared" si="20"/>
        <v>-904055.48</v>
      </c>
      <c r="AC64" s="29">
        <f t="shared" si="20"/>
        <v>-753933.3026</v>
      </c>
      <c r="AD64" s="29">
        <f t="shared" si="20"/>
        <v>-576701.1287</v>
      </c>
      <c r="AE64" s="29">
        <f t="shared" si="20"/>
        <v>-371169.4023</v>
      </c>
      <c r="AF64" s="29">
        <f t="shared" si="20"/>
        <v>-136178.3065</v>
      </c>
      <c r="AG64" s="29">
        <f t="shared" si="20"/>
        <v>129402.9803</v>
      </c>
      <c r="AH64" s="29">
        <f t="shared" si="20"/>
        <v>426677.0089</v>
      </c>
      <c r="AI64" s="29">
        <f t="shared" si="20"/>
        <v>756718.7667</v>
      </c>
      <c r="AJ64" s="29">
        <f t="shared" si="20"/>
        <v>1120576.366</v>
      </c>
      <c r="AK64" s="29">
        <f t="shared" si="20"/>
        <v>1519271.717</v>
      </c>
    </row>
    <row r="65" ht="13.5" customHeight="1">
      <c r="A65" s="27" t="s">
        <v>131</v>
      </c>
      <c r="B65" s="29">
        <f>'Sales Ramp'!B114</f>
        <v>-23728.22049</v>
      </c>
      <c r="C65" s="29">
        <f>'Sales Ramp'!C114</f>
        <v>-70799.15191</v>
      </c>
      <c r="D65" s="29">
        <f>'Sales Ramp'!D114</f>
        <v>-143391.3906</v>
      </c>
      <c r="E65" s="29">
        <f>'Sales Ramp'!E114</f>
        <v>-245808.01</v>
      </c>
      <c r="F65" s="29">
        <f>'Sales Ramp'!F114</f>
        <v>-373568.7889</v>
      </c>
      <c r="G65" s="29">
        <f>'Sales Ramp'!G114</f>
        <v>-522305.5119</v>
      </c>
      <c r="H65" s="29">
        <f>'Sales Ramp'!H114</f>
        <v>-687759.1688</v>
      </c>
      <c r="I65" s="29">
        <f>'Sales Ramp'!I114</f>
        <v>-865777.2247</v>
      </c>
      <c r="J65" s="29">
        <f>'Sales Ramp'!J114</f>
        <v>-1052310.958</v>
      </c>
      <c r="K65" s="29">
        <f>'Sales Ramp'!K114</f>
        <v>-1243412.865</v>
      </c>
      <c r="L65" s="29">
        <f>'Sales Ramp'!L114</f>
        <v>-1435234.131</v>
      </c>
      <c r="M65" s="29">
        <f>'Sales Ramp'!M114</f>
        <v>-1624022.159</v>
      </c>
      <c r="N65" s="29">
        <f>'Sales Ramp'!N114</f>
        <v>-1806118.169</v>
      </c>
      <c r="O65" s="29">
        <f>'Sales Ramp'!O114</f>
        <v>-1977954.85</v>
      </c>
      <c r="P65" s="29">
        <f>'Sales Ramp'!P114</f>
        <v>-2136054.074</v>
      </c>
      <c r="Q65" s="29">
        <f>'Sales Ramp'!Q114</f>
        <v>-2277024.665</v>
      </c>
      <c r="R65" s="29">
        <f>'Sales Ramp'!R114</f>
        <v>-2397560.228</v>
      </c>
      <c r="S65" s="29">
        <f>'Sales Ramp'!S114</f>
        <v>-2494437.026</v>
      </c>
      <c r="T65" s="29">
        <f>'Sales Ramp'!T114</f>
        <v>-2564511.919</v>
      </c>
      <c r="U65" s="29">
        <f>'Sales Ramp'!U114</f>
        <v>-2604720.34</v>
      </c>
      <c r="V65" s="29">
        <f>'Sales Ramp'!V114</f>
        <v>-2612074.342</v>
      </c>
      <c r="W65" s="29">
        <f>'Sales Ramp'!W114</f>
        <v>-2583660.672</v>
      </c>
      <c r="X65" s="29">
        <f>'Sales Ramp'!X114</f>
        <v>-2516638.912</v>
      </c>
      <c r="Y65" s="29">
        <f>'Sales Ramp'!Y114</f>
        <v>-2408239.651</v>
      </c>
      <c r="Z65" s="29">
        <f>'Sales Ramp'!Z114</f>
        <v>-2255762.715</v>
      </c>
      <c r="AA65" s="29">
        <f>'Sales Ramp'!AA114</f>
        <v>-2056575.436</v>
      </c>
      <c r="AB65" s="29">
        <f>'Sales Ramp'!AB114</f>
        <v>-1808110.96</v>
      </c>
      <c r="AC65" s="29">
        <f>'Sales Ramp'!AC114</f>
        <v>-1507866.605</v>
      </c>
      <c r="AD65" s="29">
        <f>'Sales Ramp'!AD114</f>
        <v>-1153402.257</v>
      </c>
      <c r="AE65" s="29">
        <f>'Sales Ramp'!AE114</f>
        <v>-742338.8045</v>
      </c>
      <c r="AF65" s="29">
        <f>'Sales Ramp'!AF114</f>
        <v>-272356.6129</v>
      </c>
      <c r="AG65" s="29">
        <f>'Sales Ramp'!AG114</f>
        <v>258805.9605</v>
      </c>
      <c r="AH65" s="29">
        <f>'Sales Ramp'!AH114</f>
        <v>853354.0178</v>
      </c>
      <c r="AI65" s="29">
        <f>'Sales Ramp'!AI114</f>
        <v>1513437.533</v>
      </c>
      <c r="AJ65" s="29">
        <f>'Sales Ramp'!AJ114</f>
        <v>2241152.732</v>
      </c>
      <c r="AK65" s="29">
        <f>'Sales Ramp'!AK114</f>
        <v>3038543.434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4.13"/>
    <col customWidth="1" min="2" max="2" width="13.75"/>
    <col customWidth="1" min="3" max="4" width="12.13"/>
    <col customWidth="1" min="5" max="6" width="13.13"/>
    <col customWidth="1" min="7" max="7" width="12.13"/>
    <col customWidth="1" min="8" max="17" width="13.88"/>
    <col customWidth="1" min="18" max="37" width="14.63"/>
  </cols>
  <sheetData>
    <row r="1" ht="22.5" customHeight="1">
      <c r="A1" s="1" t="s">
        <v>133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15.0" customHeight="1">
      <c r="A2" s="5"/>
      <c r="B2" s="5"/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ht="13.5" customHeight="1">
      <c r="A3" s="27" t="s">
        <v>134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16.5" customHeight="1">
      <c r="A5" s="64" t="s">
        <v>132</v>
      </c>
      <c r="B5" s="65" t="s">
        <v>50</v>
      </c>
      <c r="C5" s="65" t="s">
        <v>51</v>
      </c>
      <c r="D5" s="65" t="s">
        <v>52</v>
      </c>
      <c r="E5" s="65" t="s">
        <v>53</v>
      </c>
      <c r="F5" s="65" t="s">
        <v>54</v>
      </c>
      <c r="G5" s="65" t="s">
        <v>55</v>
      </c>
      <c r="H5" s="65" t="s">
        <v>56</v>
      </c>
      <c r="I5" s="65" t="s">
        <v>57</v>
      </c>
      <c r="J5" s="65" t="s">
        <v>58</v>
      </c>
      <c r="K5" s="65" t="s">
        <v>59</v>
      </c>
      <c r="L5" s="65" t="s">
        <v>60</v>
      </c>
      <c r="M5" s="65" t="s">
        <v>61</v>
      </c>
      <c r="N5" s="65" t="s">
        <v>62</v>
      </c>
      <c r="O5" s="65" t="s">
        <v>63</v>
      </c>
      <c r="P5" s="65" t="s">
        <v>64</v>
      </c>
      <c r="Q5" s="65" t="s">
        <v>65</v>
      </c>
      <c r="R5" s="65" t="s">
        <v>66</v>
      </c>
      <c r="S5" s="65" t="s">
        <v>67</v>
      </c>
      <c r="T5" s="65" t="s">
        <v>68</v>
      </c>
      <c r="U5" s="65" t="s">
        <v>69</v>
      </c>
      <c r="V5" s="65" t="s">
        <v>70</v>
      </c>
      <c r="W5" s="65" t="s">
        <v>71</v>
      </c>
      <c r="X5" s="65" t="s">
        <v>72</v>
      </c>
      <c r="Y5" s="65" t="s">
        <v>73</v>
      </c>
      <c r="Z5" s="65" t="s">
        <v>74</v>
      </c>
      <c r="AA5" s="65" t="s">
        <v>75</v>
      </c>
      <c r="AB5" s="65" t="s">
        <v>76</v>
      </c>
      <c r="AC5" s="65" t="s">
        <v>77</v>
      </c>
      <c r="AD5" s="65" t="s">
        <v>78</v>
      </c>
      <c r="AE5" s="65" t="s">
        <v>79</v>
      </c>
      <c r="AF5" s="65" t="s">
        <v>80</v>
      </c>
      <c r="AG5" s="65" t="s">
        <v>81</v>
      </c>
      <c r="AH5" s="65" t="s">
        <v>82</v>
      </c>
      <c r="AI5" s="65" t="s">
        <v>83</v>
      </c>
      <c r="AJ5" s="65" t="s">
        <v>84</v>
      </c>
      <c r="AK5" s="65" t="s">
        <v>85</v>
      </c>
    </row>
    <row r="6" ht="15.0" customHeight="1">
      <c r="A6" s="66" t="s">
        <v>135</v>
      </c>
      <c r="B6" s="29">
        <f t="shared" ref="B6:AK6" si="1">B141</f>
        <v>-23728.22049</v>
      </c>
      <c r="C6" s="29">
        <f t="shared" si="1"/>
        <v>-47065.02865</v>
      </c>
      <c r="D6" s="29">
        <f t="shared" si="1"/>
        <v>-72555.27257</v>
      </c>
      <c r="E6" s="29">
        <f t="shared" si="1"/>
        <v>-102285.4163</v>
      </c>
      <c r="F6" s="29">
        <f t="shared" si="1"/>
        <v>-127415.5163</v>
      </c>
      <c r="G6" s="29">
        <f t="shared" si="1"/>
        <v>-148003.0732</v>
      </c>
      <c r="H6" s="29">
        <f t="shared" si="1"/>
        <v>-164104.8688</v>
      </c>
      <c r="I6" s="29">
        <f t="shared" si="1"/>
        <v>-175776.975</v>
      </c>
      <c r="J6" s="29">
        <f t="shared" si="1"/>
        <v>-183074.763</v>
      </c>
      <c r="K6" s="29">
        <f t="shared" si="1"/>
        <v>-186052.9118</v>
      </c>
      <c r="L6" s="29">
        <f t="shared" si="1"/>
        <v>-184765.4169</v>
      </c>
      <c r="M6" s="29">
        <f t="shared" si="1"/>
        <v>-179265.5987</v>
      </c>
      <c r="N6" s="29">
        <f t="shared" si="1"/>
        <v>-169606.1114</v>
      </c>
      <c r="O6" s="29">
        <f t="shared" si="1"/>
        <v>-155838.9508</v>
      </c>
      <c r="P6" s="29">
        <f t="shared" si="1"/>
        <v>-138015.4628</v>
      </c>
      <c r="Q6" s="29">
        <f t="shared" si="1"/>
        <v>-116186.3515</v>
      </c>
      <c r="R6" s="29">
        <f t="shared" si="1"/>
        <v>-90401.68728</v>
      </c>
      <c r="S6" s="29">
        <f t="shared" si="1"/>
        <v>-60710.91445</v>
      </c>
      <c r="T6" s="29">
        <f t="shared" si="1"/>
        <v>-27162.85938</v>
      </c>
      <c r="U6" s="29">
        <f t="shared" si="1"/>
        <v>10194.26187</v>
      </c>
      <c r="V6" s="29">
        <f t="shared" si="1"/>
        <v>51312.836</v>
      </c>
      <c r="W6" s="29">
        <f t="shared" si="1"/>
        <v>96145.84483</v>
      </c>
      <c r="X6" s="29">
        <f t="shared" si="1"/>
        <v>144646.8579</v>
      </c>
      <c r="Y6" s="29">
        <f t="shared" si="1"/>
        <v>196770.0253</v>
      </c>
      <c r="Z6" s="29">
        <f t="shared" si="1"/>
        <v>252470.0699</v>
      </c>
      <c r="AA6" s="29">
        <f t="shared" si="1"/>
        <v>311702.2808</v>
      </c>
      <c r="AB6" s="29">
        <f t="shared" si="1"/>
        <v>374422.506</v>
      </c>
      <c r="AC6" s="29">
        <f t="shared" si="1"/>
        <v>440587.1453</v>
      </c>
      <c r="AD6" s="29">
        <f t="shared" si="1"/>
        <v>510153.1434</v>
      </c>
      <c r="AE6" s="29">
        <f t="shared" si="1"/>
        <v>583077.9835</v>
      </c>
      <c r="AF6" s="29">
        <f t="shared" si="1"/>
        <v>659319.6799</v>
      </c>
      <c r="AG6" s="29">
        <f t="shared" si="1"/>
        <v>738836.772</v>
      </c>
      <c r="AH6" s="29">
        <f t="shared" si="1"/>
        <v>821588.3174</v>
      </c>
      <c r="AI6" s="29">
        <f t="shared" si="1"/>
        <v>907533.8853</v>
      </c>
      <c r="AJ6" s="29">
        <f t="shared" si="1"/>
        <v>996633.5505</v>
      </c>
      <c r="AK6" s="29">
        <f t="shared" si="1"/>
        <v>1088847.887</v>
      </c>
    </row>
    <row r="7" ht="13.5" customHeight="1">
      <c r="A7" s="27" t="s">
        <v>136</v>
      </c>
      <c r="B7" s="29">
        <f>'Sales Ramp'!B113</f>
        <v>-23728.22049</v>
      </c>
      <c r="C7" s="29">
        <f>'Sales Ramp'!C113</f>
        <v>-47070.93142</v>
      </c>
      <c r="D7" s="29">
        <f>'Sales Ramp'!D113</f>
        <v>-72592.23872</v>
      </c>
      <c r="E7" s="29">
        <f>'Sales Ramp'!E113</f>
        <v>-102416.6194</v>
      </c>
      <c r="F7" s="29">
        <f>'Sales Ramp'!F113</f>
        <v>-127760.7789</v>
      </c>
      <c r="G7" s="29">
        <f>'Sales Ramp'!G113</f>
        <v>-148736.723</v>
      </c>
      <c r="H7" s="29">
        <f>'Sales Ramp'!H113</f>
        <v>-165453.6569</v>
      </c>
      <c r="I7" s="29">
        <f>'Sales Ramp'!I113</f>
        <v>-178018.0559</v>
      </c>
      <c r="J7" s="29">
        <f>'Sales Ramp'!J113</f>
        <v>-186533.7334</v>
      </c>
      <c r="K7" s="29">
        <f>'Sales Ramp'!K113</f>
        <v>-191101.9074</v>
      </c>
      <c r="L7" s="29">
        <f>'Sales Ramp'!L113</f>
        <v>-191821.2655</v>
      </c>
      <c r="M7" s="29">
        <f>'Sales Ramp'!M113</f>
        <v>-188788.0281</v>
      </c>
      <c r="N7" s="29">
        <f>'Sales Ramp'!N113</f>
        <v>-182096.0101</v>
      </c>
      <c r="O7" s="29">
        <f>'Sales Ramp'!O113</f>
        <v>-171836.681</v>
      </c>
      <c r="P7" s="29">
        <f>'Sales Ramp'!P113</f>
        <v>-158099.2236</v>
      </c>
      <c r="Q7" s="29">
        <f>'Sales Ramp'!Q113</f>
        <v>-140970.5911</v>
      </c>
      <c r="R7" s="29">
        <f>'Sales Ramp'!R113</f>
        <v>-120535.5628</v>
      </c>
      <c r="S7" s="29">
        <f>'Sales Ramp'!S113</f>
        <v>-96876.79873</v>
      </c>
      <c r="T7" s="29">
        <f>'Sales Ramp'!T113</f>
        <v>-70074.8922</v>
      </c>
      <c r="U7" s="29">
        <f>'Sales Ramp'!U113</f>
        <v>-40208.42178</v>
      </c>
      <c r="V7" s="29">
        <f>'Sales Ramp'!V113</f>
        <v>-7354.001581</v>
      </c>
      <c r="W7" s="29">
        <f>'Sales Ramp'!W113</f>
        <v>28413.66966</v>
      </c>
      <c r="X7" s="29">
        <f>'Sales Ramp'!X113</f>
        <v>67021.76067</v>
      </c>
      <c r="Y7" s="29">
        <f>'Sales Ramp'!Y113</f>
        <v>108399.2609</v>
      </c>
      <c r="Z7" s="29">
        <f>'Sales Ramp'!Z113</f>
        <v>152476.9353</v>
      </c>
      <c r="AA7" s="29">
        <f>'Sales Ramp'!AA113</f>
        <v>199187.2793</v>
      </c>
      <c r="AB7" s="29">
        <f>'Sales Ramp'!AB113</f>
        <v>248464.4762</v>
      </c>
      <c r="AC7" s="29">
        <f>'Sales Ramp'!AC113</f>
        <v>300244.3548</v>
      </c>
      <c r="AD7" s="29">
        <f>'Sales Ramp'!AD113</f>
        <v>354464.3479</v>
      </c>
      <c r="AE7" s="29">
        <f>'Sales Ramp'!AE113</f>
        <v>411063.4528</v>
      </c>
      <c r="AF7" s="29">
        <f>'Sales Ramp'!AF113</f>
        <v>469982.1916</v>
      </c>
      <c r="AG7" s="29">
        <f>'Sales Ramp'!AG113</f>
        <v>531162.5734</v>
      </c>
      <c r="AH7" s="29">
        <f>'Sales Ramp'!AH113</f>
        <v>594548.0573</v>
      </c>
      <c r="AI7" s="29">
        <f>'Sales Ramp'!AI113</f>
        <v>660083.5156</v>
      </c>
      <c r="AJ7" s="29">
        <f>'Sales Ramp'!AJ113</f>
        <v>727715.199</v>
      </c>
      <c r="AK7" s="29">
        <f>'Sales Ramp'!AK113</f>
        <v>797390.7019</v>
      </c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ht="16.5" customHeight="1">
      <c r="A10" s="64" t="s">
        <v>101</v>
      </c>
      <c r="B10" s="65" t="s">
        <v>50</v>
      </c>
      <c r="C10" s="65" t="s">
        <v>51</v>
      </c>
      <c r="D10" s="65" t="s">
        <v>52</v>
      </c>
      <c r="E10" s="65" t="s">
        <v>53</v>
      </c>
      <c r="F10" s="65" t="s">
        <v>54</v>
      </c>
      <c r="G10" s="65" t="s">
        <v>55</v>
      </c>
      <c r="H10" s="65" t="s">
        <v>56</v>
      </c>
      <c r="I10" s="65" t="s">
        <v>57</v>
      </c>
      <c r="J10" s="65" t="s">
        <v>58</v>
      </c>
      <c r="K10" s="65" t="s">
        <v>59</v>
      </c>
      <c r="L10" s="65" t="s">
        <v>60</v>
      </c>
      <c r="M10" s="65" t="s">
        <v>61</v>
      </c>
      <c r="N10" s="65" t="s">
        <v>62</v>
      </c>
      <c r="O10" s="65" t="s">
        <v>63</v>
      </c>
      <c r="P10" s="65" t="s">
        <v>64</v>
      </c>
      <c r="Q10" s="65" t="s">
        <v>65</v>
      </c>
      <c r="R10" s="65" t="s">
        <v>66</v>
      </c>
      <c r="S10" s="65" t="s">
        <v>67</v>
      </c>
      <c r="T10" s="65" t="s">
        <v>68</v>
      </c>
      <c r="U10" s="65" t="s">
        <v>69</v>
      </c>
      <c r="V10" s="65" t="s">
        <v>70</v>
      </c>
      <c r="W10" s="65" t="s">
        <v>71</v>
      </c>
      <c r="X10" s="65" t="s">
        <v>72</v>
      </c>
      <c r="Y10" s="65" t="s">
        <v>73</v>
      </c>
      <c r="Z10" s="65" t="s">
        <v>74</v>
      </c>
      <c r="AA10" s="65" t="s">
        <v>75</v>
      </c>
      <c r="AB10" s="65" t="s">
        <v>76</v>
      </c>
      <c r="AC10" s="65" t="s">
        <v>77</v>
      </c>
      <c r="AD10" s="65" t="s">
        <v>78</v>
      </c>
      <c r="AE10" s="65" t="s">
        <v>79</v>
      </c>
      <c r="AF10" s="65" t="s">
        <v>80</v>
      </c>
      <c r="AG10" s="65" t="s">
        <v>81</v>
      </c>
      <c r="AH10" s="65" t="s">
        <v>82</v>
      </c>
      <c r="AI10" s="65" t="s">
        <v>83</v>
      </c>
      <c r="AJ10" s="65" t="s">
        <v>84</v>
      </c>
      <c r="AK10" s="65" t="s">
        <v>85</v>
      </c>
    </row>
    <row r="11" ht="15.0" customHeight="1">
      <c r="A11" s="66" t="s">
        <v>135</v>
      </c>
      <c r="B11" s="29">
        <f t="shared" ref="B11:AK11" si="2">B142</f>
        <v>-23728.22049</v>
      </c>
      <c r="C11" s="29">
        <f t="shared" si="2"/>
        <v>-70793.24913</v>
      </c>
      <c r="D11" s="29">
        <f t="shared" si="2"/>
        <v>-143348.5217</v>
      </c>
      <c r="E11" s="29">
        <f t="shared" si="2"/>
        <v>-245633.938</v>
      </c>
      <c r="F11" s="29">
        <f t="shared" si="2"/>
        <v>-373049.4543</v>
      </c>
      <c r="G11" s="29">
        <f t="shared" si="2"/>
        <v>-521052.5275</v>
      </c>
      <c r="H11" s="29">
        <f t="shared" si="2"/>
        <v>-685157.3963</v>
      </c>
      <c r="I11" s="29">
        <f t="shared" si="2"/>
        <v>-860934.3713</v>
      </c>
      <c r="J11" s="29">
        <f t="shared" si="2"/>
        <v>-1044009.134</v>
      </c>
      <c r="K11" s="29">
        <f t="shared" si="2"/>
        <v>-1230062.046</v>
      </c>
      <c r="L11" s="29">
        <f t="shared" si="2"/>
        <v>-1414827.463</v>
      </c>
      <c r="M11" s="29">
        <f t="shared" si="2"/>
        <v>-1594093.062</v>
      </c>
      <c r="N11" s="29">
        <f t="shared" si="2"/>
        <v>-1763699.173</v>
      </c>
      <c r="O11" s="29">
        <f t="shared" si="2"/>
        <v>-1919538.124</v>
      </c>
      <c r="P11" s="29">
        <f t="shared" si="2"/>
        <v>-2057553.587</v>
      </c>
      <c r="Q11" s="29">
        <f t="shared" si="2"/>
        <v>-2173739.938</v>
      </c>
      <c r="R11" s="29">
        <f t="shared" si="2"/>
        <v>-2264141.626</v>
      </c>
      <c r="S11" s="29">
        <f t="shared" si="2"/>
        <v>-2324852.54</v>
      </c>
      <c r="T11" s="29">
        <f t="shared" si="2"/>
        <v>-2352015.399</v>
      </c>
      <c r="U11" s="29">
        <f t="shared" si="2"/>
        <v>-2341821.138</v>
      </c>
      <c r="V11" s="29">
        <f t="shared" si="2"/>
        <v>-2290508.302</v>
      </c>
      <c r="W11" s="29">
        <f t="shared" si="2"/>
        <v>-2194362.457</v>
      </c>
      <c r="X11" s="29">
        <f t="shared" si="2"/>
        <v>-2049715.599</v>
      </c>
      <c r="Y11" s="29">
        <f t="shared" si="2"/>
        <v>-1852945.574</v>
      </c>
      <c r="Z11" s="29">
        <f t="shared" si="2"/>
        <v>-1600475.504</v>
      </c>
      <c r="AA11" s="29">
        <f t="shared" si="2"/>
        <v>-1288773.223</v>
      </c>
      <c r="AB11" s="29">
        <f t="shared" si="2"/>
        <v>-914350.7168</v>
      </c>
      <c r="AC11" s="29">
        <f t="shared" si="2"/>
        <v>-473763.5715</v>
      </c>
      <c r="AD11" s="29">
        <f t="shared" si="2"/>
        <v>36389.57187</v>
      </c>
      <c r="AE11" s="29">
        <f t="shared" si="2"/>
        <v>619467.5554</v>
      </c>
      <c r="AF11" s="29">
        <f t="shared" si="2"/>
        <v>1278787.235</v>
      </c>
      <c r="AG11" s="29">
        <f t="shared" si="2"/>
        <v>2017624.007</v>
      </c>
      <c r="AH11" s="29">
        <f t="shared" si="2"/>
        <v>2839212.325</v>
      </c>
      <c r="AI11" s="29">
        <f t="shared" si="2"/>
        <v>3746746.21</v>
      </c>
      <c r="AJ11" s="29">
        <f t="shared" si="2"/>
        <v>4743379.761</v>
      </c>
      <c r="AK11" s="29">
        <f t="shared" si="2"/>
        <v>5832227.647</v>
      </c>
    </row>
    <row r="12" ht="13.5" customHeight="1">
      <c r="A12" s="27" t="s">
        <v>136</v>
      </c>
      <c r="B12" s="29">
        <f>'Sales Ramp'!B114</f>
        <v>-23728.22049</v>
      </c>
      <c r="C12" s="29">
        <f>'Sales Ramp'!C114</f>
        <v>-70799.15191</v>
      </c>
      <c r="D12" s="29">
        <f>'Sales Ramp'!D114</f>
        <v>-143391.3906</v>
      </c>
      <c r="E12" s="29">
        <f>'Sales Ramp'!E114</f>
        <v>-245808.01</v>
      </c>
      <c r="F12" s="29">
        <f>'Sales Ramp'!F114</f>
        <v>-373568.7889</v>
      </c>
      <c r="G12" s="29">
        <f>'Sales Ramp'!G114</f>
        <v>-522305.5119</v>
      </c>
      <c r="H12" s="29">
        <f>'Sales Ramp'!H114</f>
        <v>-687759.1688</v>
      </c>
      <c r="I12" s="29">
        <f>'Sales Ramp'!I114</f>
        <v>-865777.2247</v>
      </c>
      <c r="J12" s="29">
        <f>'Sales Ramp'!J114</f>
        <v>-1052310.958</v>
      </c>
      <c r="K12" s="29">
        <f>'Sales Ramp'!K114</f>
        <v>-1243412.865</v>
      </c>
      <c r="L12" s="29">
        <f>'Sales Ramp'!L114</f>
        <v>-1435234.131</v>
      </c>
      <c r="M12" s="29">
        <f>'Sales Ramp'!M114</f>
        <v>-1624022.159</v>
      </c>
      <c r="N12" s="29">
        <f>'Sales Ramp'!N114</f>
        <v>-1806118.169</v>
      </c>
      <c r="O12" s="29">
        <f>'Sales Ramp'!O114</f>
        <v>-1977954.85</v>
      </c>
      <c r="P12" s="29">
        <f>'Sales Ramp'!P114</f>
        <v>-2136054.074</v>
      </c>
      <c r="Q12" s="29">
        <f>'Sales Ramp'!Q114</f>
        <v>-2277024.665</v>
      </c>
      <c r="R12" s="29">
        <f>'Sales Ramp'!R114</f>
        <v>-2397560.228</v>
      </c>
      <c r="S12" s="29">
        <f>'Sales Ramp'!S114</f>
        <v>-2494437.026</v>
      </c>
      <c r="T12" s="29">
        <f>'Sales Ramp'!T114</f>
        <v>-2564511.919</v>
      </c>
      <c r="U12" s="29">
        <f>'Sales Ramp'!U114</f>
        <v>-2604720.34</v>
      </c>
      <c r="V12" s="29">
        <f>'Sales Ramp'!V114</f>
        <v>-2612074.342</v>
      </c>
      <c r="W12" s="29">
        <f>'Sales Ramp'!W114</f>
        <v>-2583660.672</v>
      </c>
      <c r="X12" s="29">
        <f>'Sales Ramp'!X114</f>
        <v>-2516638.912</v>
      </c>
      <c r="Y12" s="29">
        <f>'Sales Ramp'!Y114</f>
        <v>-2408239.651</v>
      </c>
      <c r="Z12" s="29">
        <f>'Sales Ramp'!Z114</f>
        <v>-2255762.715</v>
      </c>
      <c r="AA12" s="29">
        <f>'Sales Ramp'!AA114</f>
        <v>-2056575.436</v>
      </c>
      <c r="AB12" s="29">
        <f>'Sales Ramp'!AB114</f>
        <v>-1808110.96</v>
      </c>
      <c r="AC12" s="29">
        <f>'Sales Ramp'!AC114</f>
        <v>-1507866.605</v>
      </c>
      <c r="AD12" s="29">
        <f>'Sales Ramp'!AD114</f>
        <v>-1153402.257</v>
      </c>
      <c r="AE12" s="29">
        <f>'Sales Ramp'!AE114</f>
        <v>-742338.8045</v>
      </c>
      <c r="AF12" s="29">
        <f>'Sales Ramp'!AF114</f>
        <v>-272356.6129</v>
      </c>
      <c r="AG12" s="29">
        <f>'Sales Ramp'!AG114</f>
        <v>258805.9605</v>
      </c>
      <c r="AH12" s="29">
        <f>'Sales Ramp'!AH114</f>
        <v>853354.0178</v>
      </c>
      <c r="AI12" s="29">
        <f>'Sales Ramp'!AI114</f>
        <v>1513437.533</v>
      </c>
      <c r="AJ12" s="29">
        <f>'Sales Ramp'!AJ114</f>
        <v>2241152.732</v>
      </c>
      <c r="AK12" s="29">
        <f>'Sales Ramp'!AK114</f>
        <v>3038543.434</v>
      </c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ht="13.5" customHeight="1">
      <c r="A32" s="3"/>
      <c r="B32" s="3"/>
      <c r="C32" s="3"/>
      <c r="D32" s="3"/>
      <c r="E32" s="3"/>
      <c r="F32" s="3"/>
      <c r="G32" s="3"/>
      <c r="H32" s="6" t="s">
        <v>1</v>
      </c>
      <c r="I32" s="7"/>
      <c r="J32" s="8" t="s">
        <v>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ht="19.5" customHeight="1">
      <c r="A34" s="76" t="s">
        <v>3</v>
      </c>
      <c r="B34" s="11"/>
      <c r="C34" s="11"/>
      <c r="D34" s="11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ht="15.75" customHeight="1">
      <c r="A35" s="12" t="s">
        <v>4</v>
      </c>
      <c r="B35" s="13"/>
      <c r="C35" s="5"/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ht="13.5" customHeight="1">
      <c r="A36" s="14" t="s">
        <v>5</v>
      </c>
      <c r="B36" s="15">
        <v>50000.0</v>
      </c>
      <c r="C36" s="1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ht="13.5" customHeight="1">
      <c r="A37" s="17" t="s">
        <v>6</v>
      </c>
      <c r="B37" s="18">
        <v>55000.0</v>
      </c>
      <c r="C37" s="19" t="s">
        <v>7</v>
      </c>
      <c r="D37" s="4"/>
      <c r="E37" s="4"/>
      <c r="F37" s="4"/>
      <c r="G37" s="4"/>
      <c r="H37" s="4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ht="13.5" customHeight="1">
      <c r="A38" s="17" t="s">
        <v>8</v>
      </c>
      <c r="B38" s="20">
        <v>1.0</v>
      </c>
      <c r="C38" s="20">
        <v>0.7</v>
      </c>
      <c r="D38" s="20">
        <v>0.3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20">
        <v>0.0</v>
      </c>
      <c r="K38" s="1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ht="13.5" customHeight="1">
      <c r="A39" s="17" t="s">
        <v>10</v>
      </c>
      <c r="B39" s="18">
        <v>30000.0</v>
      </c>
      <c r="C39" s="21"/>
      <c r="D39" s="9"/>
      <c r="E39" s="9"/>
      <c r="F39" s="9"/>
      <c r="G39" s="9"/>
      <c r="H39" s="9"/>
      <c r="I39" s="9"/>
      <c r="J39" s="9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ht="13.5" customHeight="1">
      <c r="A40" s="17" t="s">
        <v>11</v>
      </c>
      <c r="B40" s="20">
        <v>0.15</v>
      </c>
      <c r="C40" s="8" t="s">
        <v>12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ht="13.5" customHeight="1">
      <c r="A41" s="3"/>
      <c r="B41" s="2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ht="15.0" customHeight="1">
      <c r="A42" s="23" t="s">
        <v>13</v>
      </c>
      <c r="B42" s="2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ht="13.5" customHeight="1">
      <c r="A43" s="14" t="s">
        <v>14</v>
      </c>
      <c r="B43" s="25">
        <v>500000.0</v>
      </c>
      <c r="C43" s="8" t="s">
        <v>15</v>
      </c>
      <c r="D43" s="26"/>
      <c r="E43" s="3"/>
      <c r="F43" s="3"/>
      <c r="G43" s="3"/>
      <c r="H43" s="3"/>
      <c r="I43" s="3"/>
      <c r="J43" s="3"/>
      <c r="K43" s="30" t="s">
        <v>18</v>
      </c>
      <c r="L43" s="31"/>
      <c r="M43" s="31"/>
      <c r="N43" s="31"/>
      <c r="O43" s="31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ht="13.5" customHeight="1">
      <c r="A44" s="27" t="s">
        <v>16</v>
      </c>
      <c r="B44" s="28">
        <f>B43/12</f>
        <v>41666.66667</v>
      </c>
      <c r="C44" s="3"/>
      <c r="D44" s="3"/>
      <c r="E44" s="3"/>
      <c r="F44" s="3"/>
      <c r="G44" s="3"/>
      <c r="H44" s="3"/>
      <c r="I44" s="3"/>
      <c r="J44" s="32"/>
      <c r="K44" s="20">
        <v>0.5</v>
      </c>
      <c r="L44" s="33" t="s">
        <v>19</v>
      </c>
      <c r="M44" s="34"/>
      <c r="N44" s="34"/>
      <c r="O44" s="3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ht="13.5" customHeight="1">
      <c r="A45" s="3"/>
      <c r="B45" s="29"/>
      <c r="C45" s="3"/>
      <c r="D45" s="3"/>
      <c r="E45" s="3"/>
      <c r="F45" s="3"/>
      <c r="G45" s="3"/>
      <c r="H45" s="3"/>
      <c r="I45" s="3"/>
      <c r="J45" s="32"/>
      <c r="K45" s="36">
        <v>1.5</v>
      </c>
      <c r="L45" s="33" t="s">
        <v>21</v>
      </c>
      <c r="M45" s="34"/>
      <c r="N45" s="34"/>
      <c r="O45" s="3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ht="15.0" customHeight="1">
      <c r="A46" s="23" t="s">
        <v>20</v>
      </c>
      <c r="B46" s="35"/>
      <c r="C46" s="3"/>
      <c r="D46" s="3"/>
      <c r="E46" s="3"/>
      <c r="F46" s="3"/>
      <c r="G46" s="3"/>
      <c r="H46" s="3"/>
      <c r="I46" s="3"/>
      <c r="J46" s="3"/>
      <c r="K46" s="38">
        <f>K45*(1-K44)</f>
        <v>0.75</v>
      </c>
      <c r="L46" s="39" t="s">
        <v>23</v>
      </c>
      <c r="M46" s="34"/>
      <c r="N46" s="34"/>
      <c r="O46" s="3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ht="13.5" customHeight="1">
      <c r="A47" s="14" t="s">
        <v>22</v>
      </c>
      <c r="B47" s="37">
        <v>0.0125</v>
      </c>
      <c r="C47" s="16"/>
      <c r="D47" s="3"/>
      <c r="E47" s="3"/>
      <c r="F47" s="3"/>
      <c r="G47" s="3"/>
      <c r="H47" s="3"/>
      <c r="I47" s="3"/>
      <c r="J47" s="32"/>
      <c r="K47" s="20">
        <v>0.03</v>
      </c>
      <c r="L47" s="33" t="s">
        <v>25</v>
      </c>
      <c r="M47" s="34"/>
      <c r="N47" s="34"/>
      <c r="O47" s="3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ht="13.5" customHeight="1">
      <c r="A48" s="17" t="s">
        <v>24</v>
      </c>
      <c r="B48" s="40">
        <v>0.8</v>
      </c>
      <c r="C48" s="16"/>
      <c r="D48" s="3"/>
      <c r="E48" s="3"/>
      <c r="F48" s="3"/>
      <c r="G48" s="3"/>
      <c r="H48" s="3"/>
      <c r="I48" s="3"/>
      <c r="J48" s="32"/>
      <c r="K48" s="20">
        <v>0.2</v>
      </c>
      <c r="L48" s="33" t="s">
        <v>26</v>
      </c>
      <c r="M48" s="34"/>
      <c r="N48" s="34"/>
      <c r="O48" s="3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ht="13.5" customHeight="1">
      <c r="A49" s="3"/>
      <c r="B49" s="41"/>
      <c r="C49" s="3"/>
      <c r="D49" s="3"/>
      <c r="E49" s="3"/>
      <c r="F49" s="3"/>
      <c r="G49" s="3"/>
      <c r="H49" s="3"/>
      <c r="I49" s="3"/>
      <c r="J49" s="3"/>
      <c r="K49" s="44"/>
      <c r="L49" s="34"/>
      <c r="M49" s="34"/>
      <c r="N49" s="34"/>
      <c r="O49" s="3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ht="15.0" customHeight="1">
      <c r="A50" s="42" t="s">
        <v>27</v>
      </c>
      <c r="B50" s="43"/>
      <c r="C50" s="43"/>
      <c r="D50" s="43"/>
      <c r="E50" s="43"/>
      <c r="F50" s="43"/>
      <c r="G50" s="3"/>
      <c r="H50" s="3"/>
      <c r="I50" s="3"/>
      <c r="J50" s="3"/>
      <c r="K50" s="34"/>
      <c r="L50" s="34"/>
      <c r="M50" s="34"/>
      <c r="N50" s="34"/>
      <c r="O50" s="3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ht="13.5" customHeight="1">
      <c r="A51" s="45" t="s">
        <v>28</v>
      </c>
      <c r="B51" s="46">
        <v>6000.0</v>
      </c>
      <c r="C51" s="47" t="s">
        <v>29</v>
      </c>
      <c r="D51" s="48"/>
      <c r="E51" s="48"/>
      <c r="F51" s="48"/>
      <c r="G51" s="3"/>
      <c r="H51" s="3"/>
      <c r="I51" s="3"/>
      <c r="J51" s="3"/>
      <c r="K51" s="39">
        <v>1.0</v>
      </c>
      <c r="L51" s="39" t="s">
        <v>32</v>
      </c>
      <c r="M51" s="34"/>
      <c r="N51" s="34"/>
      <c r="O51" s="3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ht="13.5" customHeight="1">
      <c r="A52" s="49" t="s">
        <v>30</v>
      </c>
      <c r="B52" s="50">
        <f>B44/B51</f>
        <v>6.944444444</v>
      </c>
      <c r="C52" s="49" t="s">
        <v>31</v>
      </c>
      <c r="D52" s="51"/>
      <c r="E52" s="51"/>
      <c r="F52" s="51"/>
      <c r="G52" s="3"/>
      <c r="H52" s="3"/>
      <c r="I52" s="3"/>
      <c r="J52" s="3"/>
      <c r="K52" s="55">
        <f>K51/K48</f>
        <v>5</v>
      </c>
      <c r="L52" s="39" t="s">
        <v>34</v>
      </c>
      <c r="M52" s="34"/>
      <c r="N52" s="34"/>
      <c r="O52" s="3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ht="13.5" customHeight="1">
      <c r="A53" s="52" t="s">
        <v>33</v>
      </c>
      <c r="B53" s="53">
        <v>10.0</v>
      </c>
      <c r="C53" s="54"/>
      <c r="D53" s="51"/>
      <c r="E53" s="51"/>
      <c r="F53" s="51"/>
      <c r="G53" s="3"/>
      <c r="H53" s="3"/>
      <c r="I53" s="3"/>
      <c r="J53" s="3"/>
      <c r="K53" s="55">
        <f>ROUND(K52/K47,0)</f>
        <v>167</v>
      </c>
      <c r="L53" s="39" t="s">
        <v>36</v>
      </c>
      <c r="M53" s="34"/>
      <c r="N53" s="34"/>
      <c r="O53" s="3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ht="13.5" customHeight="1">
      <c r="A54" s="52" t="s">
        <v>35</v>
      </c>
      <c r="B54" s="56">
        <f>K54</f>
        <v>125.25</v>
      </c>
      <c r="C54" s="54"/>
      <c r="D54" s="51"/>
      <c r="E54" s="51"/>
      <c r="F54" s="51"/>
      <c r="G54" s="3"/>
      <c r="H54" s="3"/>
      <c r="I54" s="3"/>
      <c r="J54" s="3"/>
      <c r="K54" s="58">
        <f>K53*K46</f>
        <v>125.25</v>
      </c>
      <c r="L54" s="39" t="s">
        <v>39</v>
      </c>
      <c r="M54" s="34"/>
      <c r="N54" s="34"/>
      <c r="O54" s="3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ht="13.5" customHeight="1">
      <c r="A55" s="49" t="s">
        <v>37</v>
      </c>
      <c r="B55" s="57">
        <f>B54*B52*B53</f>
        <v>8697.916667</v>
      </c>
      <c r="C55" s="49" t="s">
        <v>38</v>
      </c>
      <c r="D55" s="51"/>
      <c r="E55" s="51"/>
      <c r="F55" s="5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ht="13.5" customHeight="1">
      <c r="A56" s="3"/>
      <c r="B56" s="2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ht="13.5" customHeight="1">
      <c r="A57" s="3"/>
      <c r="B57" s="2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ht="13.5" customHeight="1">
      <c r="A58" s="59" t="s">
        <v>40</v>
      </c>
      <c r="B58" s="6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ht="13.5" customHeight="1">
      <c r="A59" s="61" t="s">
        <v>41</v>
      </c>
      <c r="B59" s="62">
        <f>B54*B53</f>
        <v>1252.5</v>
      </c>
      <c r="C59" s="27" t="s">
        <v>42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ht="13.5" customHeight="1">
      <c r="A60" s="61" t="s">
        <v>43</v>
      </c>
      <c r="B60" s="62">
        <f>(B36+B37+B39)/12/B52</f>
        <v>1620</v>
      </c>
      <c r="C60" s="27" t="s">
        <v>44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ht="13.5" customHeight="1">
      <c r="A61" s="61" t="s">
        <v>45</v>
      </c>
      <c r="B61" s="62">
        <f>B60+B59</f>
        <v>2872.5</v>
      </c>
      <c r="C61" s="27" t="s">
        <v>46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ht="13.5" customHeight="1">
      <c r="A62" s="61" t="s">
        <v>47</v>
      </c>
      <c r="B62" s="62">
        <f>B51*B48/12/B47</f>
        <v>32000</v>
      </c>
      <c r="C62" s="27" t="s">
        <v>48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ht="13.5" customHeight="1">
      <c r="A63" s="3"/>
      <c r="B63" s="6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ht="16.5" customHeight="1">
      <c r="A65" s="64" t="s">
        <v>49</v>
      </c>
      <c r="B65" s="77" t="s">
        <v>50</v>
      </c>
      <c r="C65" s="77" t="s">
        <v>51</v>
      </c>
      <c r="D65" s="77" t="s">
        <v>52</v>
      </c>
      <c r="E65" s="77" t="s">
        <v>53</v>
      </c>
      <c r="F65" s="77" t="s">
        <v>54</v>
      </c>
      <c r="G65" s="77" t="s">
        <v>55</v>
      </c>
      <c r="H65" s="77" t="s">
        <v>56</v>
      </c>
      <c r="I65" s="77" t="s">
        <v>57</v>
      </c>
      <c r="J65" s="77" t="s">
        <v>58</v>
      </c>
      <c r="K65" s="65" t="s">
        <v>59</v>
      </c>
      <c r="L65" s="65" t="s">
        <v>60</v>
      </c>
      <c r="M65" s="65" t="s">
        <v>61</v>
      </c>
      <c r="N65" s="65" t="s">
        <v>62</v>
      </c>
      <c r="O65" s="65" t="s">
        <v>63</v>
      </c>
      <c r="P65" s="65" t="s">
        <v>64</v>
      </c>
      <c r="Q65" s="65" t="s">
        <v>65</v>
      </c>
      <c r="R65" s="65" t="s">
        <v>66</v>
      </c>
      <c r="S65" s="65" t="s">
        <v>67</v>
      </c>
      <c r="T65" s="65" t="s">
        <v>68</v>
      </c>
      <c r="U65" s="65" t="s">
        <v>69</v>
      </c>
      <c r="V65" s="65" t="s">
        <v>70</v>
      </c>
      <c r="W65" s="65" t="s">
        <v>71</v>
      </c>
      <c r="X65" s="65" t="s">
        <v>72</v>
      </c>
      <c r="Y65" s="65" t="s">
        <v>73</v>
      </c>
      <c r="Z65" s="65" t="s">
        <v>74</v>
      </c>
      <c r="AA65" s="65" t="s">
        <v>75</v>
      </c>
      <c r="AB65" s="65" t="s">
        <v>76</v>
      </c>
      <c r="AC65" s="65" t="s">
        <v>77</v>
      </c>
      <c r="AD65" s="65" t="s">
        <v>78</v>
      </c>
      <c r="AE65" s="65" t="s">
        <v>79</v>
      </c>
      <c r="AF65" s="65" t="s">
        <v>80</v>
      </c>
      <c r="AG65" s="65" t="s">
        <v>81</v>
      </c>
      <c r="AH65" s="65" t="s">
        <v>82</v>
      </c>
      <c r="AI65" s="65" t="s">
        <v>83</v>
      </c>
      <c r="AJ65" s="65" t="s">
        <v>84</v>
      </c>
      <c r="AK65" s="65" t="s">
        <v>85</v>
      </c>
    </row>
    <row r="66" ht="15.0" customHeight="1">
      <c r="A66" s="88" t="s">
        <v>9</v>
      </c>
      <c r="B66" s="20">
        <v>0.1</v>
      </c>
      <c r="C66" s="20">
        <v>0.33</v>
      </c>
      <c r="D66" s="20">
        <v>0.66</v>
      </c>
      <c r="E66" s="20">
        <v>1.0</v>
      </c>
      <c r="F66" s="20">
        <v>1.0</v>
      </c>
      <c r="G66" s="20">
        <v>1.0</v>
      </c>
      <c r="H66" s="20">
        <v>1.0</v>
      </c>
      <c r="I66" s="20">
        <v>1.0</v>
      </c>
      <c r="J66" s="20">
        <v>1.0</v>
      </c>
      <c r="K66" s="89">
        <v>1.0</v>
      </c>
      <c r="L66" s="68">
        <v>1.0</v>
      </c>
      <c r="M66" s="68">
        <v>1.0</v>
      </c>
      <c r="N66" s="68">
        <v>1.0</v>
      </c>
      <c r="O66" s="68">
        <v>1.0</v>
      </c>
      <c r="P66" s="68">
        <v>1.0</v>
      </c>
      <c r="Q66" s="68">
        <v>1.0</v>
      </c>
      <c r="R66" s="68">
        <v>1.0</v>
      </c>
      <c r="S66" s="68">
        <v>1.0</v>
      </c>
      <c r="T66" s="68">
        <v>1.0</v>
      </c>
      <c r="U66" s="68">
        <v>1.0</v>
      </c>
      <c r="V66" s="68">
        <v>1.0</v>
      </c>
      <c r="W66" s="68">
        <v>1.0</v>
      </c>
      <c r="X66" s="68">
        <v>1.0</v>
      </c>
      <c r="Y66" s="68">
        <v>1.0</v>
      </c>
      <c r="Z66" s="68">
        <v>1.0</v>
      </c>
      <c r="AA66" s="68">
        <v>1.0</v>
      </c>
      <c r="AB66" s="68">
        <v>1.0</v>
      </c>
      <c r="AC66" s="68">
        <v>1.0</v>
      </c>
      <c r="AD66" s="68">
        <v>1.0</v>
      </c>
      <c r="AE66" s="68">
        <v>1.0</v>
      </c>
      <c r="AF66" s="68">
        <v>1.0</v>
      </c>
      <c r="AG66" s="68">
        <v>1.0</v>
      </c>
      <c r="AH66" s="68">
        <v>1.0</v>
      </c>
      <c r="AI66" s="68">
        <v>1.0</v>
      </c>
      <c r="AJ66" s="68">
        <v>1.0</v>
      </c>
      <c r="AK66" s="68">
        <v>1.0</v>
      </c>
    </row>
    <row r="67" ht="13.5" customHeight="1">
      <c r="A67" s="27" t="s">
        <v>86</v>
      </c>
      <c r="B67" s="28">
        <f t="shared" ref="B67:AK67" si="3">B66*$B$44*(1-$B$40)</f>
        <v>3541.666667</v>
      </c>
      <c r="C67" s="28">
        <f t="shared" si="3"/>
        <v>11687.5</v>
      </c>
      <c r="D67" s="28">
        <f t="shared" si="3"/>
        <v>23375</v>
      </c>
      <c r="E67" s="28">
        <f t="shared" si="3"/>
        <v>35416.66667</v>
      </c>
      <c r="F67" s="28">
        <f t="shared" si="3"/>
        <v>35416.66667</v>
      </c>
      <c r="G67" s="28">
        <f t="shared" si="3"/>
        <v>35416.66667</v>
      </c>
      <c r="H67" s="28">
        <f t="shared" si="3"/>
        <v>35416.66667</v>
      </c>
      <c r="I67" s="28">
        <f t="shared" si="3"/>
        <v>35416.66667</v>
      </c>
      <c r="J67" s="28">
        <f t="shared" si="3"/>
        <v>35416.66667</v>
      </c>
      <c r="K67" s="29">
        <f t="shared" si="3"/>
        <v>35416.66667</v>
      </c>
      <c r="L67" s="29">
        <f t="shared" si="3"/>
        <v>35416.66667</v>
      </c>
      <c r="M67" s="29">
        <f t="shared" si="3"/>
        <v>35416.66667</v>
      </c>
      <c r="N67" s="29">
        <f t="shared" si="3"/>
        <v>35416.66667</v>
      </c>
      <c r="O67" s="29">
        <f t="shared" si="3"/>
        <v>35416.66667</v>
      </c>
      <c r="P67" s="29">
        <f t="shared" si="3"/>
        <v>35416.66667</v>
      </c>
      <c r="Q67" s="29">
        <f t="shared" si="3"/>
        <v>35416.66667</v>
      </c>
      <c r="R67" s="29">
        <f t="shared" si="3"/>
        <v>35416.66667</v>
      </c>
      <c r="S67" s="29">
        <f t="shared" si="3"/>
        <v>35416.66667</v>
      </c>
      <c r="T67" s="29">
        <f t="shared" si="3"/>
        <v>35416.66667</v>
      </c>
      <c r="U67" s="29">
        <f t="shared" si="3"/>
        <v>35416.66667</v>
      </c>
      <c r="V67" s="29">
        <f t="shared" si="3"/>
        <v>35416.66667</v>
      </c>
      <c r="W67" s="29">
        <f t="shared" si="3"/>
        <v>35416.66667</v>
      </c>
      <c r="X67" s="29">
        <f t="shared" si="3"/>
        <v>35416.66667</v>
      </c>
      <c r="Y67" s="29">
        <f t="shared" si="3"/>
        <v>35416.66667</v>
      </c>
      <c r="Z67" s="29">
        <f t="shared" si="3"/>
        <v>35416.66667</v>
      </c>
      <c r="AA67" s="29">
        <f t="shared" si="3"/>
        <v>35416.66667</v>
      </c>
      <c r="AB67" s="29">
        <f t="shared" si="3"/>
        <v>35416.66667</v>
      </c>
      <c r="AC67" s="29">
        <f t="shared" si="3"/>
        <v>35416.66667</v>
      </c>
      <c r="AD67" s="29">
        <f t="shared" si="3"/>
        <v>35416.66667</v>
      </c>
      <c r="AE67" s="29">
        <f t="shared" si="3"/>
        <v>35416.66667</v>
      </c>
      <c r="AF67" s="29">
        <f t="shared" si="3"/>
        <v>35416.66667</v>
      </c>
      <c r="AG67" s="29">
        <f t="shared" si="3"/>
        <v>35416.66667</v>
      </c>
      <c r="AH67" s="29">
        <f t="shared" si="3"/>
        <v>35416.66667</v>
      </c>
      <c r="AI67" s="29">
        <f t="shared" si="3"/>
        <v>35416.66667</v>
      </c>
      <c r="AJ67" s="29">
        <f t="shared" si="3"/>
        <v>35416.66667</v>
      </c>
      <c r="AK67" s="29">
        <f t="shared" si="3"/>
        <v>35416.66667</v>
      </c>
    </row>
    <row r="68" ht="13.5" customHeight="1">
      <c r="A68" s="27" t="s">
        <v>87</v>
      </c>
      <c r="B68" s="29">
        <f t="shared" ref="B68:AK68" si="4">B67/12</f>
        <v>295.1388889</v>
      </c>
      <c r="C68" s="29">
        <f t="shared" si="4"/>
        <v>973.9583333</v>
      </c>
      <c r="D68" s="29">
        <f t="shared" si="4"/>
        <v>1947.916667</v>
      </c>
      <c r="E68" s="29">
        <f t="shared" si="4"/>
        <v>2951.388889</v>
      </c>
      <c r="F68" s="29">
        <f t="shared" si="4"/>
        <v>2951.388889</v>
      </c>
      <c r="G68" s="29">
        <f t="shared" si="4"/>
        <v>2951.388889</v>
      </c>
      <c r="H68" s="29">
        <f t="shared" si="4"/>
        <v>2951.388889</v>
      </c>
      <c r="I68" s="29">
        <f t="shared" si="4"/>
        <v>2951.388889</v>
      </c>
      <c r="J68" s="29">
        <f t="shared" si="4"/>
        <v>2951.388889</v>
      </c>
      <c r="K68" s="29">
        <f t="shared" si="4"/>
        <v>2951.388889</v>
      </c>
      <c r="L68" s="29">
        <f t="shared" si="4"/>
        <v>2951.388889</v>
      </c>
      <c r="M68" s="29">
        <f t="shared" si="4"/>
        <v>2951.388889</v>
      </c>
      <c r="N68" s="29">
        <f t="shared" si="4"/>
        <v>2951.388889</v>
      </c>
      <c r="O68" s="29">
        <f t="shared" si="4"/>
        <v>2951.388889</v>
      </c>
      <c r="P68" s="29">
        <f t="shared" si="4"/>
        <v>2951.388889</v>
      </c>
      <c r="Q68" s="29">
        <f t="shared" si="4"/>
        <v>2951.388889</v>
      </c>
      <c r="R68" s="29">
        <f t="shared" si="4"/>
        <v>2951.388889</v>
      </c>
      <c r="S68" s="29">
        <f t="shared" si="4"/>
        <v>2951.388889</v>
      </c>
      <c r="T68" s="29">
        <f t="shared" si="4"/>
        <v>2951.388889</v>
      </c>
      <c r="U68" s="29">
        <f t="shared" si="4"/>
        <v>2951.388889</v>
      </c>
      <c r="V68" s="29">
        <f t="shared" si="4"/>
        <v>2951.388889</v>
      </c>
      <c r="W68" s="29">
        <f t="shared" si="4"/>
        <v>2951.388889</v>
      </c>
      <c r="X68" s="29">
        <f t="shared" si="4"/>
        <v>2951.388889</v>
      </c>
      <c r="Y68" s="29">
        <f t="shared" si="4"/>
        <v>2951.388889</v>
      </c>
      <c r="Z68" s="29">
        <f t="shared" si="4"/>
        <v>2951.388889</v>
      </c>
      <c r="AA68" s="29">
        <f t="shared" si="4"/>
        <v>2951.388889</v>
      </c>
      <c r="AB68" s="29">
        <f t="shared" si="4"/>
        <v>2951.388889</v>
      </c>
      <c r="AC68" s="29">
        <f t="shared" si="4"/>
        <v>2951.388889</v>
      </c>
      <c r="AD68" s="29">
        <f t="shared" si="4"/>
        <v>2951.388889</v>
      </c>
      <c r="AE68" s="29">
        <f t="shared" si="4"/>
        <v>2951.388889</v>
      </c>
      <c r="AF68" s="29">
        <f t="shared" si="4"/>
        <v>2951.388889</v>
      </c>
      <c r="AG68" s="29">
        <f t="shared" si="4"/>
        <v>2951.388889</v>
      </c>
      <c r="AH68" s="29">
        <f t="shared" si="4"/>
        <v>2951.388889</v>
      </c>
      <c r="AI68" s="29">
        <f t="shared" si="4"/>
        <v>2951.388889</v>
      </c>
      <c r="AJ68" s="29">
        <f t="shared" si="4"/>
        <v>2951.388889</v>
      </c>
      <c r="AK68" s="29">
        <f t="shared" si="4"/>
        <v>2951.388889</v>
      </c>
    </row>
    <row r="69" ht="13.5" customHeight="1">
      <c r="A69" s="27" t="s">
        <v>88</v>
      </c>
      <c r="B69" s="29"/>
      <c r="C69" s="29">
        <f>B68</f>
        <v>295.1388889</v>
      </c>
      <c r="D69" s="29">
        <f t="shared" ref="D69:AK69" si="5">C68+C69+C70</f>
        <v>1265.407986</v>
      </c>
      <c r="E69" s="29">
        <f t="shared" si="5"/>
        <v>3197.507053</v>
      </c>
      <c r="F69" s="29">
        <f t="shared" si="5"/>
        <v>6108.927104</v>
      </c>
      <c r="G69" s="29">
        <f t="shared" si="5"/>
        <v>8983.954404</v>
      </c>
      <c r="H69" s="29">
        <f t="shared" si="5"/>
        <v>11823.04386</v>
      </c>
      <c r="I69" s="29">
        <f t="shared" si="5"/>
        <v>14626.6447</v>
      </c>
      <c r="J69" s="29">
        <f t="shared" si="5"/>
        <v>17395.20053</v>
      </c>
      <c r="K69" s="29">
        <f t="shared" si="5"/>
        <v>20129.14942</v>
      </c>
      <c r="L69" s="29">
        <f t="shared" si="5"/>
        <v>22828.92394</v>
      </c>
      <c r="M69" s="29">
        <f t="shared" si="5"/>
        <v>25494.95128</v>
      </c>
      <c r="N69" s="29">
        <f t="shared" si="5"/>
        <v>28127.65327</v>
      </c>
      <c r="O69" s="29">
        <f t="shared" si="5"/>
        <v>30727.4465</v>
      </c>
      <c r="P69" s="29">
        <f t="shared" si="5"/>
        <v>33294.7423</v>
      </c>
      <c r="Q69" s="29">
        <f t="shared" si="5"/>
        <v>35829.94692</v>
      </c>
      <c r="R69" s="29">
        <f t="shared" si="5"/>
        <v>38333.46147</v>
      </c>
      <c r="S69" s="29">
        <f t="shared" si="5"/>
        <v>40805.68209</v>
      </c>
      <c r="T69" s="29">
        <f t="shared" si="5"/>
        <v>43246.99995</v>
      </c>
      <c r="U69" s="29">
        <f t="shared" si="5"/>
        <v>45657.80134</v>
      </c>
      <c r="V69" s="29">
        <f t="shared" si="5"/>
        <v>48038.46771</v>
      </c>
      <c r="W69" s="29">
        <f t="shared" si="5"/>
        <v>50389.37575</v>
      </c>
      <c r="X69" s="29">
        <f t="shared" si="5"/>
        <v>52710.89745</v>
      </c>
      <c r="Y69" s="29">
        <f t="shared" si="5"/>
        <v>55003.40012</v>
      </c>
      <c r="Z69" s="29">
        <f t="shared" si="5"/>
        <v>57267.24651</v>
      </c>
      <c r="AA69" s="29">
        <f t="shared" si="5"/>
        <v>59502.79481</v>
      </c>
      <c r="AB69" s="29">
        <f t="shared" si="5"/>
        <v>61710.39877</v>
      </c>
      <c r="AC69" s="29">
        <f t="shared" si="5"/>
        <v>63890.40767</v>
      </c>
      <c r="AD69" s="29">
        <f t="shared" si="5"/>
        <v>66043.16646</v>
      </c>
      <c r="AE69" s="29">
        <f t="shared" si="5"/>
        <v>68169.01577</v>
      </c>
      <c r="AF69" s="29">
        <f t="shared" si="5"/>
        <v>70268.29196</v>
      </c>
      <c r="AG69" s="29">
        <f t="shared" si="5"/>
        <v>72341.3272</v>
      </c>
      <c r="AH69" s="29">
        <f t="shared" si="5"/>
        <v>74388.4495</v>
      </c>
      <c r="AI69" s="29">
        <f t="shared" si="5"/>
        <v>76409.98277</v>
      </c>
      <c r="AJ69" s="29">
        <f t="shared" si="5"/>
        <v>78406.24688</v>
      </c>
      <c r="AK69" s="29">
        <f t="shared" si="5"/>
        <v>80377.55768</v>
      </c>
    </row>
    <row r="70" ht="13.5" customHeight="1">
      <c r="A70" s="27" t="s">
        <v>89</v>
      </c>
      <c r="B70" s="29"/>
      <c r="C70" s="69">
        <f t="shared" ref="C70:AK70" si="6">-$B$47*C69</f>
        <v>-3.689236111</v>
      </c>
      <c r="D70" s="69">
        <f t="shared" si="6"/>
        <v>-15.81759983</v>
      </c>
      <c r="E70" s="69">
        <f t="shared" si="6"/>
        <v>-39.96883816</v>
      </c>
      <c r="F70" s="69">
        <f t="shared" si="6"/>
        <v>-76.3615888</v>
      </c>
      <c r="G70" s="69">
        <f t="shared" si="6"/>
        <v>-112.29943</v>
      </c>
      <c r="H70" s="69">
        <f t="shared" si="6"/>
        <v>-147.7880483</v>
      </c>
      <c r="I70" s="69">
        <f t="shared" si="6"/>
        <v>-182.8330588</v>
      </c>
      <c r="J70" s="69">
        <f t="shared" si="6"/>
        <v>-217.4400067</v>
      </c>
      <c r="K70" s="69">
        <f t="shared" si="6"/>
        <v>-251.6143677</v>
      </c>
      <c r="L70" s="69">
        <f t="shared" si="6"/>
        <v>-285.3615492</v>
      </c>
      <c r="M70" s="69">
        <f t="shared" si="6"/>
        <v>-318.686891</v>
      </c>
      <c r="N70" s="69">
        <f t="shared" si="6"/>
        <v>-351.5956659</v>
      </c>
      <c r="O70" s="69">
        <f t="shared" si="6"/>
        <v>-384.0930812</v>
      </c>
      <c r="P70" s="69">
        <f t="shared" si="6"/>
        <v>-416.1842788</v>
      </c>
      <c r="Q70" s="69">
        <f t="shared" si="6"/>
        <v>-447.8743364</v>
      </c>
      <c r="R70" s="69">
        <f t="shared" si="6"/>
        <v>-479.1682683</v>
      </c>
      <c r="S70" s="69">
        <f t="shared" si="6"/>
        <v>-510.0710261</v>
      </c>
      <c r="T70" s="69">
        <f t="shared" si="6"/>
        <v>-540.5874994</v>
      </c>
      <c r="U70" s="69">
        <f t="shared" si="6"/>
        <v>-570.7225168</v>
      </c>
      <c r="V70" s="69">
        <f t="shared" si="6"/>
        <v>-600.4808464</v>
      </c>
      <c r="W70" s="69">
        <f t="shared" si="6"/>
        <v>-629.8671969</v>
      </c>
      <c r="X70" s="69">
        <f t="shared" si="6"/>
        <v>-658.8862181</v>
      </c>
      <c r="Y70" s="69">
        <f t="shared" si="6"/>
        <v>-687.5425015</v>
      </c>
      <c r="Z70" s="69">
        <f t="shared" si="6"/>
        <v>-715.8405813</v>
      </c>
      <c r="AA70" s="69">
        <f t="shared" si="6"/>
        <v>-743.7849352</v>
      </c>
      <c r="AB70" s="69">
        <f t="shared" si="6"/>
        <v>-771.3799846</v>
      </c>
      <c r="AC70" s="69">
        <f t="shared" si="6"/>
        <v>-798.6300959</v>
      </c>
      <c r="AD70" s="69">
        <f t="shared" si="6"/>
        <v>-825.5395808</v>
      </c>
      <c r="AE70" s="69">
        <f t="shared" si="6"/>
        <v>-852.1126971</v>
      </c>
      <c r="AF70" s="69">
        <f t="shared" si="6"/>
        <v>-878.3536495</v>
      </c>
      <c r="AG70" s="69">
        <f t="shared" si="6"/>
        <v>-904.26659</v>
      </c>
      <c r="AH70" s="69">
        <f t="shared" si="6"/>
        <v>-929.8556188</v>
      </c>
      <c r="AI70" s="69">
        <f t="shared" si="6"/>
        <v>-955.1247846</v>
      </c>
      <c r="AJ70" s="69">
        <f t="shared" si="6"/>
        <v>-980.078086</v>
      </c>
      <c r="AK70" s="69">
        <f t="shared" si="6"/>
        <v>-1004.719471</v>
      </c>
    </row>
    <row r="71" ht="13.5" customHeight="1">
      <c r="A71" s="70" t="s">
        <v>90</v>
      </c>
      <c r="B71" s="71">
        <f t="shared" ref="B71:AK71" si="7">SUM(B68:B70)</f>
        <v>295.1388889</v>
      </c>
      <c r="C71" s="71">
        <f t="shared" si="7"/>
        <v>1265.407986</v>
      </c>
      <c r="D71" s="71">
        <f t="shared" si="7"/>
        <v>3197.507053</v>
      </c>
      <c r="E71" s="71">
        <f t="shared" si="7"/>
        <v>6108.927104</v>
      </c>
      <c r="F71" s="71">
        <f t="shared" si="7"/>
        <v>8983.954404</v>
      </c>
      <c r="G71" s="71">
        <f t="shared" si="7"/>
        <v>11823.04386</v>
      </c>
      <c r="H71" s="71">
        <f t="shared" si="7"/>
        <v>14626.6447</v>
      </c>
      <c r="I71" s="71">
        <f t="shared" si="7"/>
        <v>17395.20053</v>
      </c>
      <c r="J71" s="71">
        <f t="shared" si="7"/>
        <v>20129.14942</v>
      </c>
      <c r="K71" s="71">
        <f t="shared" si="7"/>
        <v>22828.92394</v>
      </c>
      <c r="L71" s="71">
        <f t="shared" si="7"/>
        <v>25494.95128</v>
      </c>
      <c r="M71" s="71">
        <f t="shared" si="7"/>
        <v>28127.65327</v>
      </c>
      <c r="N71" s="71">
        <f t="shared" si="7"/>
        <v>30727.4465</v>
      </c>
      <c r="O71" s="71">
        <f t="shared" si="7"/>
        <v>33294.7423</v>
      </c>
      <c r="P71" s="71">
        <f t="shared" si="7"/>
        <v>35829.94692</v>
      </c>
      <c r="Q71" s="71">
        <f t="shared" si="7"/>
        <v>38333.46147</v>
      </c>
      <c r="R71" s="71">
        <f t="shared" si="7"/>
        <v>40805.68209</v>
      </c>
      <c r="S71" s="71">
        <f t="shared" si="7"/>
        <v>43246.99995</v>
      </c>
      <c r="T71" s="71">
        <f t="shared" si="7"/>
        <v>45657.80134</v>
      </c>
      <c r="U71" s="71">
        <f t="shared" si="7"/>
        <v>48038.46771</v>
      </c>
      <c r="V71" s="71">
        <f t="shared" si="7"/>
        <v>50389.37575</v>
      </c>
      <c r="W71" s="71">
        <f t="shared" si="7"/>
        <v>52710.89745</v>
      </c>
      <c r="X71" s="71">
        <f t="shared" si="7"/>
        <v>55003.40012</v>
      </c>
      <c r="Y71" s="71">
        <f t="shared" si="7"/>
        <v>57267.24651</v>
      </c>
      <c r="Z71" s="71">
        <f t="shared" si="7"/>
        <v>59502.79481</v>
      </c>
      <c r="AA71" s="71">
        <f t="shared" si="7"/>
        <v>61710.39877</v>
      </c>
      <c r="AB71" s="71">
        <f t="shared" si="7"/>
        <v>63890.40767</v>
      </c>
      <c r="AC71" s="71">
        <f t="shared" si="7"/>
        <v>66043.16646</v>
      </c>
      <c r="AD71" s="71">
        <f t="shared" si="7"/>
        <v>68169.01577</v>
      </c>
      <c r="AE71" s="71">
        <f t="shared" si="7"/>
        <v>70268.29196</v>
      </c>
      <c r="AF71" s="71">
        <f t="shared" si="7"/>
        <v>72341.3272</v>
      </c>
      <c r="AG71" s="71">
        <f t="shared" si="7"/>
        <v>74388.4495</v>
      </c>
      <c r="AH71" s="71">
        <f t="shared" si="7"/>
        <v>76409.98277</v>
      </c>
      <c r="AI71" s="71">
        <f t="shared" si="7"/>
        <v>78406.24688</v>
      </c>
      <c r="AJ71" s="71">
        <f t="shared" si="7"/>
        <v>80377.55768</v>
      </c>
      <c r="AK71" s="71">
        <f t="shared" si="7"/>
        <v>82324.2271</v>
      </c>
    </row>
    <row r="72" ht="15.0" customHeight="1">
      <c r="A72" s="72" t="s">
        <v>91</v>
      </c>
      <c r="B72" s="73">
        <f>B71</f>
        <v>295.1388889</v>
      </c>
      <c r="C72" s="73">
        <f t="shared" ref="C72:AK72" si="8">B72+C71</f>
        <v>1560.546875</v>
      </c>
      <c r="D72" s="73">
        <f t="shared" si="8"/>
        <v>4758.053928</v>
      </c>
      <c r="E72" s="73">
        <f t="shared" si="8"/>
        <v>10866.98103</v>
      </c>
      <c r="F72" s="73">
        <f t="shared" si="8"/>
        <v>19850.93544</v>
      </c>
      <c r="G72" s="73">
        <f t="shared" si="8"/>
        <v>31673.9793</v>
      </c>
      <c r="H72" s="73">
        <f t="shared" si="8"/>
        <v>46300.624</v>
      </c>
      <c r="I72" s="73">
        <f t="shared" si="8"/>
        <v>63695.82453</v>
      </c>
      <c r="J72" s="73">
        <f t="shared" si="8"/>
        <v>83824.97395</v>
      </c>
      <c r="K72" s="73">
        <f t="shared" si="8"/>
        <v>106653.8979</v>
      </c>
      <c r="L72" s="73">
        <f t="shared" si="8"/>
        <v>132148.8492</v>
      </c>
      <c r="M72" s="73">
        <f t="shared" si="8"/>
        <v>160276.5024</v>
      </c>
      <c r="N72" s="73">
        <f t="shared" si="8"/>
        <v>191003.9489</v>
      </c>
      <c r="O72" s="73">
        <f t="shared" si="8"/>
        <v>224298.6912</v>
      </c>
      <c r="P72" s="73">
        <f t="shared" si="8"/>
        <v>260128.6382</v>
      </c>
      <c r="Q72" s="73">
        <f t="shared" si="8"/>
        <v>298462.0996</v>
      </c>
      <c r="R72" s="73">
        <f t="shared" si="8"/>
        <v>339267.7817</v>
      </c>
      <c r="S72" s="73">
        <f t="shared" si="8"/>
        <v>382514.7817</v>
      </c>
      <c r="T72" s="73">
        <f t="shared" si="8"/>
        <v>428172.583</v>
      </c>
      <c r="U72" s="73">
        <f t="shared" si="8"/>
        <v>476211.0507</v>
      </c>
      <c r="V72" s="73">
        <f t="shared" si="8"/>
        <v>526600.4265</v>
      </c>
      <c r="W72" s="73">
        <f t="shared" si="8"/>
        <v>579311.3239</v>
      </c>
      <c r="X72" s="73">
        <f t="shared" si="8"/>
        <v>634314.724</v>
      </c>
      <c r="Y72" s="73">
        <f t="shared" si="8"/>
        <v>691581.9705</v>
      </c>
      <c r="Z72" s="73">
        <f t="shared" si="8"/>
        <v>751084.7654</v>
      </c>
      <c r="AA72" s="73">
        <f t="shared" si="8"/>
        <v>812795.1641</v>
      </c>
      <c r="AB72" s="73">
        <f t="shared" si="8"/>
        <v>876685.5718</v>
      </c>
      <c r="AC72" s="73">
        <f t="shared" si="8"/>
        <v>942728.7383</v>
      </c>
      <c r="AD72" s="73">
        <f t="shared" si="8"/>
        <v>1010897.754</v>
      </c>
      <c r="AE72" s="73">
        <f t="shared" si="8"/>
        <v>1081166.046</v>
      </c>
      <c r="AF72" s="73">
        <f t="shared" si="8"/>
        <v>1153507.373</v>
      </c>
      <c r="AG72" s="73">
        <f t="shared" si="8"/>
        <v>1227895.823</v>
      </c>
      <c r="AH72" s="73">
        <f t="shared" si="8"/>
        <v>1304305.805</v>
      </c>
      <c r="AI72" s="73">
        <f t="shared" si="8"/>
        <v>1382712.052</v>
      </c>
      <c r="AJ72" s="73">
        <f t="shared" si="8"/>
        <v>1463089.61</v>
      </c>
      <c r="AK72" s="73">
        <f t="shared" si="8"/>
        <v>1545413.837</v>
      </c>
    </row>
    <row r="73" ht="15.0" customHeight="1">
      <c r="A73" s="74" t="s">
        <v>92</v>
      </c>
      <c r="B73" s="75">
        <f t="shared" ref="B73:AK73" si="9">$B$48*B72</f>
        <v>236.1111111</v>
      </c>
      <c r="C73" s="75">
        <f t="shared" si="9"/>
        <v>1248.4375</v>
      </c>
      <c r="D73" s="75">
        <f t="shared" si="9"/>
        <v>3806.443142</v>
      </c>
      <c r="E73" s="75">
        <f t="shared" si="9"/>
        <v>8693.584825</v>
      </c>
      <c r="F73" s="75">
        <f t="shared" si="9"/>
        <v>15880.74835</v>
      </c>
      <c r="G73" s="75">
        <f t="shared" si="9"/>
        <v>25339.18344</v>
      </c>
      <c r="H73" s="75">
        <f t="shared" si="9"/>
        <v>37040.4992</v>
      </c>
      <c r="I73" s="75">
        <f t="shared" si="9"/>
        <v>50956.65963</v>
      </c>
      <c r="J73" s="75">
        <f t="shared" si="9"/>
        <v>67059.97916</v>
      </c>
      <c r="K73" s="75">
        <f t="shared" si="9"/>
        <v>85323.11831</v>
      </c>
      <c r="L73" s="75">
        <f t="shared" si="9"/>
        <v>105719.0793</v>
      </c>
      <c r="M73" s="75">
        <f t="shared" si="9"/>
        <v>128221.202</v>
      </c>
      <c r="N73" s="75">
        <f t="shared" si="9"/>
        <v>152803.1591</v>
      </c>
      <c r="O73" s="75">
        <f t="shared" si="9"/>
        <v>179438.953</v>
      </c>
      <c r="P73" s="75">
        <f t="shared" si="9"/>
        <v>208102.9105</v>
      </c>
      <c r="Q73" s="75">
        <f t="shared" si="9"/>
        <v>238769.6797</v>
      </c>
      <c r="R73" s="75">
        <f t="shared" si="9"/>
        <v>271414.2254</v>
      </c>
      <c r="S73" s="75">
        <f t="shared" si="9"/>
        <v>306011.8253</v>
      </c>
      <c r="T73" s="75">
        <f t="shared" si="9"/>
        <v>342538.0664</v>
      </c>
      <c r="U73" s="75">
        <f t="shared" si="9"/>
        <v>380968.8406</v>
      </c>
      <c r="V73" s="75">
        <f t="shared" si="9"/>
        <v>421280.3412</v>
      </c>
      <c r="W73" s="75">
        <f t="shared" si="9"/>
        <v>463449.0591</v>
      </c>
      <c r="X73" s="75">
        <f t="shared" si="9"/>
        <v>507451.7792</v>
      </c>
      <c r="Y73" s="75">
        <f t="shared" si="9"/>
        <v>553265.5764</v>
      </c>
      <c r="Z73" s="75">
        <f t="shared" si="9"/>
        <v>600867.8123</v>
      </c>
      <c r="AA73" s="75">
        <f t="shared" si="9"/>
        <v>650236.1313</v>
      </c>
      <c r="AB73" s="75">
        <f t="shared" si="9"/>
        <v>701348.4574</v>
      </c>
      <c r="AC73" s="75">
        <f t="shared" si="9"/>
        <v>754182.9906</v>
      </c>
      <c r="AD73" s="75">
        <f t="shared" si="9"/>
        <v>808718.2032</v>
      </c>
      <c r="AE73" s="75">
        <f t="shared" si="9"/>
        <v>864932.8368</v>
      </c>
      <c r="AF73" s="75">
        <f t="shared" si="9"/>
        <v>922805.8986</v>
      </c>
      <c r="AG73" s="75">
        <f t="shared" si="9"/>
        <v>982316.6582</v>
      </c>
      <c r="AH73" s="75">
        <f t="shared" si="9"/>
        <v>1043444.644</v>
      </c>
      <c r="AI73" s="75">
        <f t="shared" si="9"/>
        <v>1106169.642</v>
      </c>
      <c r="AJ73" s="75">
        <f t="shared" si="9"/>
        <v>1170471.688</v>
      </c>
      <c r="AK73" s="75">
        <f t="shared" si="9"/>
        <v>1236331.07</v>
      </c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ht="16.5" customHeight="1">
      <c r="A76" s="64" t="s">
        <v>93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ht="15.0" customHeight="1">
      <c r="A77" s="66" t="s">
        <v>94</v>
      </c>
      <c r="B77" s="29">
        <f t="shared" ref="B77:AK77" si="10">$B$36/12</f>
        <v>4166.666667</v>
      </c>
      <c r="C77" s="29">
        <f t="shared" si="10"/>
        <v>4166.666667</v>
      </c>
      <c r="D77" s="29">
        <f t="shared" si="10"/>
        <v>4166.666667</v>
      </c>
      <c r="E77" s="29">
        <f t="shared" si="10"/>
        <v>4166.666667</v>
      </c>
      <c r="F77" s="29">
        <f t="shared" si="10"/>
        <v>4166.666667</v>
      </c>
      <c r="G77" s="29">
        <f t="shared" si="10"/>
        <v>4166.666667</v>
      </c>
      <c r="H77" s="29">
        <f t="shared" si="10"/>
        <v>4166.666667</v>
      </c>
      <c r="I77" s="29">
        <f t="shared" si="10"/>
        <v>4166.666667</v>
      </c>
      <c r="J77" s="29">
        <f t="shared" si="10"/>
        <v>4166.666667</v>
      </c>
      <c r="K77" s="29">
        <f t="shared" si="10"/>
        <v>4166.666667</v>
      </c>
      <c r="L77" s="29">
        <f t="shared" si="10"/>
        <v>4166.666667</v>
      </c>
      <c r="M77" s="29">
        <f t="shared" si="10"/>
        <v>4166.666667</v>
      </c>
      <c r="N77" s="29">
        <f t="shared" si="10"/>
        <v>4166.666667</v>
      </c>
      <c r="O77" s="29">
        <f t="shared" si="10"/>
        <v>4166.666667</v>
      </c>
      <c r="P77" s="29">
        <f t="shared" si="10"/>
        <v>4166.666667</v>
      </c>
      <c r="Q77" s="29">
        <f t="shared" si="10"/>
        <v>4166.666667</v>
      </c>
      <c r="R77" s="29">
        <f t="shared" si="10"/>
        <v>4166.666667</v>
      </c>
      <c r="S77" s="29">
        <f t="shared" si="10"/>
        <v>4166.666667</v>
      </c>
      <c r="T77" s="29">
        <f t="shared" si="10"/>
        <v>4166.666667</v>
      </c>
      <c r="U77" s="29">
        <f t="shared" si="10"/>
        <v>4166.666667</v>
      </c>
      <c r="V77" s="29">
        <f t="shared" si="10"/>
        <v>4166.666667</v>
      </c>
      <c r="W77" s="29">
        <f t="shared" si="10"/>
        <v>4166.666667</v>
      </c>
      <c r="X77" s="29">
        <f t="shared" si="10"/>
        <v>4166.666667</v>
      </c>
      <c r="Y77" s="29">
        <f t="shared" si="10"/>
        <v>4166.666667</v>
      </c>
      <c r="Z77" s="29">
        <f t="shared" si="10"/>
        <v>4166.666667</v>
      </c>
      <c r="AA77" s="29">
        <f t="shared" si="10"/>
        <v>4166.666667</v>
      </c>
      <c r="AB77" s="29">
        <f t="shared" si="10"/>
        <v>4166.666667</v>
      </c>
      <c r="AC77" s="29">
        <f t="shared" si="10"/>
        <v>4166.666667</v>
      </c>
      <c r="AD77" s="29">
        <f t="shared" si="10"/>
        <v>4166.666667</v>
      </c>
      <c r="AE77" s="29">
        <f t="shared" si="10"/>
        <v>4166.666667</v>
      </c>
      <c r="AF77" s="29">
        <f t="shared" si="10"/>
        <v>4166.666667</v>
      </c>
      <c r="AG77" s="29">
        <f t="shared" si="10"/>
        <v>4166.666667</v>
      </c>
      <c r="AH77" s="29">
        <f t="shared" si="10"/>
        <v>4166.666667</v>
      </c>
      <c r="AI77" s="29">
        <f t="shared" si="10"/>
        <v>4166.666667</v>
      </c>
      <c r="AJ77" s="29">
        <f t="shared" si="10"/>
        <v>4166.666667</v>
      </c>
      <c r="AK77" s="29">
        <f t="shared" si="10"/>
        <v>4166.666667</v>
      </c>
    </row>
    <row r="78" ht="13.5" customHeight="1">
      <c r="A78" s="27" t="s">
        <v>6</v>
      </c>
      <c r="B78" s="29">
        <f t="shared" ref="B78:J78" si="11">MAX(B66,B38)*$B$37/12</f>
        <v>4583.333333</v>
      </c>
      <c r="C78" s="29">
        <f t="shared" si="11"/>
        <v>3208.333333</v>
      </c>
      <c r="D78" s="29">
        <f t="shared" si="11"/>
        <v>3025</v>
      </c>
      <c r="E78" s="29">
        <f t="shared" si="11"/>
        <v>4583.333333</v>
      </c>
      <c r="F78" s="29">
        <f t="shared" si="11"/>
        <v>4583.333333</v>
      </c>
      <c r="G78" s="29">
        <f t="shared" si="11"/>
        <v>4583.333333</v>
      </c>
      <c r="H78" s="29">
        <f t="shared" si="11"/>
        <v>4583.333333</v>
      </c>
      <c r="I78" s="29">
        <f t="shared" si="11"/>
        <v>4583.333333</v>
      </c>
      <c r="J78" s="29">
        <f t="shared" si="11"/>
        <v>4583.333333</v>
      </c>
      <c r="K78" s="29">
        <f t="shared" ref="K78:AK78" si="12">$B$37/12</f>
        <v>4583.333333</v>
      </c>
      <c r="L78" s="29">
        <f t="shared" si="12"/>
        <v>4583.333333</v>
      </c>
      <c r="M78" s="29">
        <f t="shared" si="12"/>
        <v>4583.333333</v>
      </c>
      <c r="N78" s="29">
        <f t="shared" si="12"/>
        <v>4583.333333</v>
      </c>
      <c r="O78" s="29">
        <f t="shared" si="12"/>
        <v>4583.333333</v>
      </c>
      <c r="P78" s="29">
        <f t="shared" si="12"/>
        <v>4583.333333</v>
      </c>
      <c r="Q78" s="29">
        <f t="shared" si="12"/>
        <v>4583.333333</v>
      </c>
      <c r="R78" s="29">
        <f t="shared" si="12"/>
        <v>4583.333333</v>
      </c>
      <c r="S78" s="29">
        <f t="shared" si="12"/>
        <v>4583.333333</v>
      </c>
      <c r="T78" s="29">
        <f t="shared" si="12"/>
        <v>4583.333333</v>
      </c>
      <c r="U78" s="29">
        <f t="shared" si="12"/>
        <v>4583.333333</v>
      </c>
      <c r="V78" s="29">
        <f t="shared" si="12"/>
        <v>4583.333333</v>
      </c>
      <c r="W78" s="29">
        <f t="shared" si="12"/>
        <v>4583.333333</v>
      </c>
      <c r="X78" s="29">
        <f t="shared" si="12"/>
        <v>4583.333333</v>
      </c>
      <c r="Y78" s="29">
        <f t="shared" si="12"/>
        <v>4583.333333</v>
      </c>
      <c r="Z78" s="29">
        <f t="shared" si="12"/>
        <v>4583.333333</v>
      </c>
      <c r="AA78" s="29">
        <f t="shared" si="12"/>
        <v>4583.333333</v>
      </c>
      <c r="AB78" s="29">
        <f t="shared" si="12"/>
        <v>4583.333333</v>
      </c>
      <c r="AC78" s="29">
        <f t="shared" si="12"/>
        <v>4583.333333</v>
      </c>
      <c r="AD78" s="29">
        <f t="shared" si="12"/>
        <v>4583.333333</v>
      </c>
      <c r="AE78" s="29">
        <f t="shared" si="12"/>
        <v>4583.333333</v>
      </c>
      <c r="AF78" s="29">
        <f t="shared" si="12"/>
        <v>4583.333333</v>
      </c>
      <c r="AG78" s="29">
        <f t="shared" si="12"/>
        <v>4583.333333</v>
      </c>
      <c r="AH78" s="29">
        <f t="shared" si="12"/>
        <v>4583.333333</v>
      </c>
      <c r="AI78" s="29">
        <f t="shared" si="12"/>
        <v>4583.333333</v>
      </c>
      <c r="AJ78" s="29">
        <f t="shared" si="12"/>
        <v>4583.333333</v>
      </c>
      <c r="AK78" s="29">
        <f t="shared" si="12"/>
        <v>4583.333333</v>
      </c>
    </row>
    <row r="79" ht="13.5" customHeight="1">
      <c r="A79" s="27" t="s">
        <v>95</v>
      </c>
      <c r="B79" s="29">
        <f t="shared" ref="B79:AK79" si="13">$B$39/12</f>
        <v>2500</v>
      </c>
      <c r="C79" s="29">
        <f t="shared" si="13"/>
        <v>2500</v>
      </c>
      <c r="D79" s="29">
        <f t="shared" si="13"/>
        <v>2500</v>
      </c>
      <c r="E79" s="29">
        <f t="shared" si="13"/>
        <v>2500</v>
      </c>
      <c r="F79" s="29">
        <f t="shared" si="13"/>
        <v>2500</v>
      </c>
      <c r="G79" s="29">
        <f t="shared" si="13"/>
        <v>2500</v>
      </c>
      <c r="H79" s="29">
        <f t="shared" si="13"/>
        <v>2500</v>
      </c>
      <c r="I79" s="29">
        <f t="shared" si="13"/>
        <v>2500</v>
      </c>
      <c r="J79" s="29">
        <f t="shared" si="13"/>
        <v>2500</v>
      </c>
      <c r="K79" s="29">
        <f t="shared" si="13"/>
        <v>2500</v>
      </c>
      <c r="L79" s="29">
        <f t="shared" si="13"/>
        <v>2500</v>
      </c>
      <c r="M79" s="29">
        <f t="shared" si="13"/>
        <v>2500</v>
      </c>
      <c r="N79" s="29">
        <f t="shared" si="13"/>
        <v>2500</v>
      </c>
      <c r="O79" s="29">
        <f t="shared" si="13"/>
        <v>2500</v>
      </c>
      <c r="P79" s="29">
        <f t="shared" si="13"/>
        <v>2500</v>
      </c>
      <c r="Q79" s="29">
        <f t="shared" si="13"/>
        <v>2500</v>
      </c>
      <c r="R79" s="29">
        <f t="shared" si="13"/>
        <v>2500</v>
      </c>
      <c r="S79" s="29">
        <f t="shared" si="13"/>
        <v>2500</v>
      </c>
      <c r="T79" s="29">
        <f t="shared" si="13"/>
        <v>2500</v>
      </c>
      <c r="U79" s="29">
        <f t="shared" si="13"/>
        <v>2500</v>
      </c>
      <c r="V79" s="29">
        <f t="shared" si="13"/>
        <v>2500</v>
      </c>
      <c r="W79" s="29">
        <f t="shared" si="13"/>
        <v>2500</v>
      </c>
      <c r="X79" s="29">
        <f t="shared" si="13"/>
        <v>2500</v>
      </c>
      <c r="Y79" s="29">
        <f t="shared" si="13"/>
        <v>2500</v>
      </c>
      <c r="Z79" s="29">
        <f t="shared" si="13"/>
        <v>2500</v>
      </c>
      <c r="AA79" s="29">
        <f t="shared" si="13"/>
        <v>2500</v>
      </c>
      <c r="AB79" s="29">
        <f t="shared" si="13"/>
        <v>2500</v>
      </c>
      <c r="AC79" s="29">
        <f t="shared" si="13"/>
        <v>2500</v>
      </c>
      <c r="AD79" s="29">
        <f t="shared" si="13"/>
        <v>2500</v>
      </c>
      <c r="AE79" s="29">
        <f t="shared" si="13"/>
        <v>2500</v>
      </c>
      <c r="AF79" s="29">
        <f t="shared" si="13"/>
        <v>2500</v>
      </c>
      <c r="AG79" s="29">
        <f t="shared" si="13"/>
        <v>2500</v>
      </c>
      <c r="AH79" s="29">
        <f t="shared" si="13"/>
        <v>2500</v>
      </c>
      <c r="AI79" s="29">
        <f t="shared" si="13"/>
        <v>2500</v>
      </c>
      <c r="AJ79" s="29">
        <f t="shared" si="13"/>
        <v>2500</v>
      </c>
      <c r="AK79" s="29">
        <f t="shared" si="13"/>
        <v>2500</v>
      </c>
    </row>
    <row r="80" ht="13.5" customHeight="1">
      <c r="A80" s="70" t="s">
        <v>96</v>
      </c>
      <c r="B80" s="71">
        <f t="shared" ref="B80:AK80" si="14">B67*(1+$B$40)/$B$51*$B$53*$B$54</f>
        <v>850.2213542</v>
      </c>
      <c r="C80" s="71">
        <f t="shared" si="14"/>
        <v>2805.730469</v>
      </c>
      <c r="D80" s="71">
        <f t="shared" si="14"/>
        <v>5611.460938</v>
      </c>
      <c r="E80" s="71">
        <f t="shared" si="14"/>
        <v>8502.213542</v>
      </c>
      <c r="F80" s="71">
        <f t="shared" si="14"/>
        <v>8502.213542</v>
      </c>
      <c r="G80" s="71">
        <f t="shared" si="14"/>
        <v>8502.213542</v>
      </c>
      <c r="H80" s="71">
        <f t="shared" si="14"/>
        <v>8502.213542</v>
      </c>
      <c r="I80" s="71">
        <f t="shared" si="14"/>
        <v>8502.213542</v>
      </c>
      <c r="J80" s="71">
        <f t="shared" si="14"/>
        <v>8502.213542</v>
      </c>
      <c r="K80" s="71">
        <f t="shared" si="14"/>
        <v>8502.213542</v>
      </c>
      <c r="L80" s="71">
        <f t="shared" si="14"/>
        <v>8502.213542</v>
      </c>
      <c r="M80" s="71">
        <f t="shared" si="14"/>
        <v>8502.213542</v>
      </c>
      <c r="N80" s="71">
        <f t="shared" si="14"/>
        <v>8502.213542</v>
      </c>
      <c r="O80" s="71">
        <f t="shared" si="14"/>
        <v>8502.213542</v>
      </c>
      <c r="P80" s="71">
        <f t="shared" si="14"/>
        <v>8502.213542</v>
      </c>
      <c r="Q80" s="71">
        <f t="shared" si="14"/>
        <v>8502.213542</v>
      </c>
      <c r="R80" s="71">
        <f t="shared" si="14"/>
        <v>8502.213542</v>
      </c>
      <c r="S80" s="71">
        <f t="shared" si="14"/>
        <v>8502.213542</v>
      </c>
      <c r="T80" s="71">
        <f t="shared" si="14"/>
        <v>8502.213542</v>
      </c>
      <c r="U80" s="71">
        <f t="shared" si="14"/>
        <v>8502.213542</v>
      </c>
      <c r="V80" s="71">
        <f t="shared" si="14"/>
        <v>8502.213542</v>
      </c>
      <c r="W80" s="71">
        <f t="shared" si="14"/>
        <v>8502.213542</v>
      </c>
      <c r="X80" s="71">
        <f t="shared" si="14"/>
        <v>8502.213542</v>
      </c>
      <c r="Y80" s="71">
        <f t="shared" si="14"/>
        <v>8502.213542</v>
      </c>
      <c r="Z80" s="71">
        <f t="shared" si="14"/>
        <v>8502.213542</v>
      </c>
      <c r="AA80" s="71">
        <f t="shared" si="14"/>
        <v>8502.213542</v>
      </c>
      <c r="AB80" s="71">
        <f t="shared" si="14"/>
        <v>8502.213542</v>
      </c>
      <c r="AC80" s="71">
        <f t="shared" si="14"/>
        <v>8502.213542</v>
      </c>
      <c r="AD80" s="71">
        <f t="shared" si="14"/>
        <v>8502.213542</v>
      </c>
      <c r="AE80" s="71">
        <f t="shared" si="14"/>
        <v>8502.213542</v>
      </c>
      <c r="AF80" s="71">
        <f t="shared" si="14"/>
        <v>8502.213542</v>
      </c>
      <c r="AG80" s="71">
        <f t="shared" si="14"/>
        <v>8502.213542</v>
      </c>
      <c r="AH80" s="71">
        <f t="shared" si="14"/>
        <v>8502.213542</v>
      </c>
      <c r="AI80" s="71">
        <f t="shared" si="14"/>
        <v>8502.213542</v>
      </c>
      <c r="AJ80" s="71">
        <f t="shared" si="14"/>
        <v>8502.213542</v>
      </c>
      <c r="AK80" s="71">
        <f t="shared" si="14"/>
        <v>8502.213542</v>
      </c>
    </row>
    <row r="81" ht="15.0" customHeight="1">
      <c r="A81" s="72" t="s">
        <v>97</v>
      </c>
      <c r="B81" s="73">
        <f t="shared" ref="B81:AK81" si="15">SUM(B77:B80)</f>
        <v>12100.22135</v>
      </c>
      <c r="C81" s="73">
        <f t="shared" si="15"/>
        <v>12680.73047</v>
      </c>
      <c r="D81" s="73">
        <f t="shared" si="15"/>
        <v>15303.1276</v>
      </c>
      <c r="E81" s="73">
        <f t="shared" si="15"/>
        <v>19752.21354</v>
      </c>
      <c r="F81" s="73">
        <f t="shared" si="15"/>
        <v>19752.21354</v>
      </c>
      <c r="G81" s="73">
        <f t="shared" si="15"/>
        <v>19752.21354</v>
      </c>
      <c r="H81" s="73">
        <f t="shared" si="15"/>
        <v>19752.21354</v>
      </c>
      <c r="I81" s="73">
        <f t="shared" si="15"/>
        <v>19752.21354</v>
      </c>
      <c r="J81" s="73">
        <f t="shared" si="15"/>
        <v>19752.21354</v>
      </c>
      <c r="K81" s="73">
        <f t="shared" si="15"/>
        <v>19752.21354</v>
      </c>
      <c r="L81" s="73">
        <f t="shared" si="15"/>
        <v>19752.21354</v>
      </c>
      <c r="M81" s="73">
        <f t="shared" si="15"/>
        <v>19752.21354</v>
      </c>
      <c r="N81" s="73">
        <f t="shared" si="15"/>
        <v>19752.21354</v>
      </c>
      <c r="O81" s="73">
        <f t="shared" si="15"/>
        <v>19752.21354</v>
      </c>
      <c r="P81" s="73">
        <f t="shared" si="15"/>
        <v>19752.21354</v>
      </c>
      <c r="Q81" s="73">
        <f t="shared" si="15"/>
        <v>19752.21354</v>
      </c>
      <c r="R81" s="73">
        <f t="shared" si="15"/>
        <v>19752.21354</v>
      </c>
      <c r="S81" s="73">
        <f t="shared" si="15"/>
        <v>19752.21354</v>
      </c>
      <c r="T81" s="73">
        <f t="shared" si="15"/>
        <v>19752.21354</v>
      </c>
      <c r="U81" s="73">
        <f t="shared" si="15"/>
        <v>19752.21354</v>
      </c>
      <c r="V81" s="73">
        <f t="shared" si="15"/>
        <v>19752.21354</v>
      </c>
      <c r="W81" s="73">
        <f t="shared" si="15"/>
        <v>19752.21354</v>
      </c>
      <c r="X81" s="73">
        <f t="shared" si="15"/>
        <v>19752.21354</v>
      </c>
      <c r="Y81" s="73">
        <f t="shared" si="15"/>
        <v>19752.21354</v>
      </c>
      <c r="Z81" s="73">
        <f t="shared" si="15"/>
        <v>19752.21354</v>
      </c>
      <c r="AA81" s="73">
        <f t="shared" si="15"/>
        <v>19752.21354</v>
      </c>
      <c r="AB81" s="73">
        <f t="shared" si="15"/>
        <v>19752.21354</v>
      </c>
      <c r="AC81" s="73">
        <f t="shared" si="15"/>
        <v>19752.21354</v>
      </c>
      <c r="AD81" s="73">
        <f t="shared" si="15"/>
        <v>19752.21354</v>
      </c>
      <c r="AE81" s="73">
        <f t="shared" si="15"/>
        <v>19752.21354</v>
      </c>
      <c r="AF81" s="73">
        <f t="shared" si="15"/>
        <v>19752.21354</v>
      </c>
      <c r="AG81" s="73">
        <f t="shared" si="15"/>
        <v>19752.21354</v>
      </c>
      <c r="AH81" s="73">
        <f t="shared" si="15"/>
        <v>19752.21354</v>
      </c>
      <c r="AI81" s="73">
        <f t="shared" si="15"/>
        <v>19752.21354</v>
      </c>
      <c r="AJ81" s="73">
        <f t="shared" si="15"/>
        <v>19752.21354</v>
      </c>
      <c r="AK81" s="73">
        <f t="shared" si="15"/>
        <v>19752.21354</v>
      </c>
    </row>
    <row r="82" ht="15.0" customHeight="1">
      <c r="A82" s="74" t="s">
        <v>98</v>
      </c>
      <c r="B82" s="75">
        <f>B81</f>
        <v>12100.22135</v>
      </c>
      <c r="C82" s="75">
        <f t="shared" ref="C82:AK82" si="16">C81+B82</f>
        <v>24780.95182</v>
      </c>
      <c r="D82" s="75">
        <f t="shared" si="16"/>
        <v>40084.07943</v>
      </c>
      <c r="E82" s="75">
        <f t="shared" si="16"/>
        <v>59836.29297</v>
      </c>
      <c r="F82" s="75">
        <f t="shared" si="16"/>
        <v>79588.50651</v>
      </c>
      <c r="G82" s="75">
        <f t="shared" si="16"/>
        <v>99340.72005</v>
      </c>
      <c r="H82" s="75">
        <f t="shared" si="16"/>
        <v>119092.9336</v>
      </c>
      <c r="I82" s="75">
        <f t="shared" si="16"/>
        <v>138845.1471</v>
      </c>
      <c r="J82" s="75">
        <f t="shared" si="16"/>
        <v>158597.3607</v>
      </c>
      <c r="K82" s="75">
        <f t="shared" si="16"/>
        <v>178349.5742</v>
      </c>
      <c r="L82" s="75">
        <f t="shared" si="16"/>
        <v>198101.7878</v>
      </c>
      <c r="M82" s="75">
        <f t="shared" si="16"/>
        <v>217854.0013</v>
      </c>
      <c r="N82" s="75">
        <f t="shared" si="16"/>
        <v>237606.2148</v>
      </c>
      <c r="O82" s="75">
        <f t="shared" si="16"/>
        <v>257358.4284</v>
      </c>
      <c r="P82" s="75">
        <f t="shared" si="16"/>
        <v>277110.6419</v>
      </c>
      <c r="Q82" s="75">
        <f t="shared" si="16"/>
        <v>296862.8555</v>
      </c>
      <c r="R82" s="75">
        <f t="shared" si="16"/>
        <v>316615.069</v>
      </c>
      <c r="S82" s="75">
        <f t="shared" si="16"/>
        <v>336367.2826</v>
      </c>
      <c r="T82" s="75">
        <f t="shared" si="16"/>
        <v>356119.4961</v>
      </c>
      <c r="U82" s="75">
        <f t="shared" si="16"/>
        <v>375871.7096</v>
      </c>
      <c r="V82" s="75">
        <f t="shared" si="16"/>
        <v>395623.9232</v>
      </c>
      <c r="W82" s="75">
        <f t="shared" si="16"/>
        <v>415376.1367</v>
      </c>
      <c r="X82" s="75">
        <f t="shared" si="16"/>
        <v>435128.3503</v>
      </c>
      <c r="Y82" s="75">
        <f t="shared" si="16"/>
        <v>454880.5638</v>
      </c>
      <c r="Z82" s="75">
        <f t="shared" si="16"/>
        <v>474632.7773</v>
      </c>
      <c r="AA82" s="75">
        <f t="shared" si="16"/>
        <v>494384.9909</v>
      </c>
      <c r="AB82" s="75">
        <f t="shared" si="16"/>
        <v>514137.2044</v>
      </c>
      <c r="AC82" s="75">
        <f t="shared" si="16"/>
        <v>533889.418</v>
      </c>
      <c r="AD82" s="75">
        <f t="shared" si="16"/>
        <v>553641.6315</v>
      </c>
      <c r="AE82" s="75">
        <f t="shared" si="16"/>
        <v>573393.8451</v>
      </c>
      <c r="AF82" s="75">
        <f t="shared" si="16"/>
        <v>593146.0586</v>
      </c>
      <c r="AG82" s="75">
        <f t="shared" si="16"/>
        <v>612898.2721</v>
      </c>
      <c r="AH82" s="75">
        <f t="shared" si="16"/>
        <v>632650.4857</v>
      </c>
      <c r="AI82" s="75">
        <f t="shared" si="16"/>
        <v>652402.6992</v>
      </c>
      <c r="AJ82" s="75">
        <f t="shared" si="16"/>
        <v>672154.9128</v>
      </c>
      <c r="AK82" s="75">
        <f t="shared" si="16"/>
        <v>691907.1263</v>
      </c>
    </row>
    <row r="83" ht="13.5" customHeight="1">
      <c r="A83" s="3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ht="16.5" customHeight="1">
      <c r="A84" s="64" t="s">
        <v>99</v>
      </c>
      <c r="B84" s="65" t="s">
        <v>50</v>
      </c>
      <c r="C84" s="65" t="s">
        <v>51</v>
      </c>
      <c r="D84" s="65" t="s">
        <v>52</v>
      </c>
      <c r="E84" s="65" t="s">
        <v>53</v>
      </c>
      <c r="F84" s="65" t="s">
        <v>54</v>
      </c>
      <c r="G84" s="65" t="s">
        <v>55</v>
      </c>
      <c r="H84" s="65" t="s">
        <v>56</v>
      </c>
      <c r="I84" s="65" t="s">
        <v>57</v>
      </c>
      <c r="J84" s="65" t="s">
        <v>58</v>
      </c>
      <c r="K84" s="65" t="s">
        <v>59</v>
      </c>
      <c r="L84" s="65" t="s">
        <v>60</v>
      </c>
      <c r="M84" s="65" t="s">
        <v>61</v>
      </c>
      <c r="N84" s="65" t="s">
        <v>62</v>
      </c>
      <c r="O84" s="65" t="s">
        <v>63</v>
      </c>
      <c r="P84" s="65" t="s">
        <v>64</v>
      </c>
      <c r="Q84" s="65" t="s">
        <v>65</v>
      </c>
      <c r="R84" s="65" t="s">
        <v>66</v>
      </c>
      <c r="S84" s="65" t="s">
        <v>67</v>
      </c>
      <c r="T84" s="65" t="s">
        <v>68</v>
      </c>
      <c r="U84" s="65" t="s">
        <v>69</v>
      </c>
      <c r="V84" s="65" t="s">
        <v>70</v>
      </c>
      <c r="W84" s="65" t="s">
        <v>71</v>
      </c>
      <c r="X84" s="65" t="s">
        <v>72</v>
      </c>
      <c r="Y84" s="65" t="s">
        <v>73</v>
      </c>
      <c r="Z84" s="65" t="s">
        <v>74</v>
      </c>
      <c r="AA84" s="65" t="s">
        <v>75</v>
      </c>
      <c r="AB84" s="65" t="s">
        <v>76</v>
      </c>
      <c r="AC84" s="65" t="s">
        <v>77</v>
      </c>
      <c r="AD84" s="65" t="s">
        <v>78</v>
      </c>
      <c r="AE84" s="65" t="s">
        <v>79</v>
      </c>
      <c r="AF84" s="65" t="s">
        <v>80</v>
      </c>
      <c r="AG84" s="65" t="s">
        <v>81</v>
      </c>
      <c r="AH84" s="65" t="s">
        <v>82</v>
      </c>
      <c r="AI84" s="65" t="s">
        <v>83</v>
      </c>
      <c r="AJ84" s="65" t="s">
        <v>84</v>
      </c>
      <c r="AK84" s="65" t="s">
        <v>85</v>
      </c>
    </row>
    <row r="85" ht="15.0" customHeight="1">
      <c r="A85" s="66" t="s">
        <v>100</v>
      </c>
      <c r="B85" s="29">
        <f t="shared" ref="B85:AK85" si="17">B71*$B$48-B81</f>
        <v>-11864.11024</v>
      </c>
      <c r="C85" s="29">
        <f t="shared" si="17"/>
        <v>-11668.40408</v>
      </c>
      <c r="D85" s="29">
        <f t="shared" si="17"/>
        <v>-12745.12196</v>
      </c>
      <c r="E85" s="29">
        <f t="shared" si="17"/>
        <v>-14865.07186</v>
      </c>
      <c r="F85" s="29">
        <f t="shared" si="17"/>
        <v>-12565.05002</v>
      </c>
      <c r="G85" s="29">
        <f t="shared" si="17"/>
        <v>-10293.77845</v>
      </c>
      <c r="H85" s="29">
        <f t="shared" si="17"/>
        <v>-8050.897779</v>
      </c>
      <c r="I85" s="29">
        <f t="shared" si="17"/>
        <v>-5836.053115</v>
      </c>
      <c r="J85" s="29">
        <f t="shared" si="17"/>
        <v>-3648.894009</v>
      </c>
      <c r="K85" s="29">
        <f t="shared" si="17"/>
        <v>-1489.074392</v>
      </c>
      <c r="L85" s="29">
        <f t="shared" si="17"/>
        <v>643.7474795</v>
      </c>
      <c r="M85" s="29">
        <f t="shared" si="17"/>
        <v>2749.909078</v>
      </c>
      <c r="N85" s="29">
        <f t="shared" si="17"/>
        <v>4829.743656</v>
      </c>
      <c r="O85" s="29">
        <f t="shared" si="17"/>
        <v>6883.580302</v>
      </c>
      <c r="P85" s="29">
        <f t="shared" si="17"/>
        <v>8911.74399</v>
      </c>
      <c r="Q85" s="29">
        <f t="shared" si="17"/>
        <v>10914.55563</v>
      </c>
      <c r="R85" s="29">
        <f t="shared" si="17"/>
        <v>12892.33213</v>
      </c>
      <c r="S85" s="29">
        <f t="shared" si="17"/>
        <v>14845.38642</v>
      </c>
      <c r="T85" s="29">
        <f t="shared" si="17"/>
        <v>16774.02753</v>
      </c>
      <c r="U85" s="29">
        <f t="shared" si="17"/>
        <v>18678.56063</v>
      </c>
      <c r="V85" s="29">
        <f t="shared" si="17"/>
        <v>20559.28706</v>
      </c>
      <c r="W85" s="29">
        <f t="shared" si="17"/>
        <v>22416.50442</v>
      </c>
      <c r="X85" s="29">
        <f t="shared" si="17"/>
        <v>24250.50655</v>
      </c>
      <c r="Y85" s="29">
        <f t="shared" si="17"/>
        <v>26061.58366</v>
      </c>
      <c r="Z85" s="29">
        <f t="shared" si="17"/>
        <v>27850.02231</v>
      </c>
      <c r="AA85" s="29">
        <f t="shared" si="17"/>
        <v>29616.10547</v>
      </c>
      <c r="AB85" s="29">
        <f t="shared" si="17"/>
        <v>31360.11259</v>
      </c>
      <c r="AC85" s="29">
        <f t="shared" si="17"/>
        <v>33082.31963</v>
      </c>
      <c r="AD85" s="29">
        <f t="shared" si="17"/>
        <v>34782.99908</v>
      </c>
      <c r="AE85" s="29">
        <f t="shared" si="17"/>
        <v>36462.42003</v>
      </c>
      <c r="AF85" s="29">
        <f t="shared" si="17"/>
        <v>38120.84822</v>
      </c>
      <c r="AG85" s="29">
        <f t="shared" si="17"/>
        <v>39758.54606</v>
      </c>
      <c r="AH85" s="29">
        <f t="shared" si="17"/>
        <v>41375.77268</v>
      </c>
      <c r="AI85" s="29">
        <f t="shared" si="17"/>
        <v>42972.78396</v>
      </c>
      <c r="AJ85" s="29">
        <f t="shared" si="17"/>
        <v>44549.8326</v>
      </c>
      <c r="AK85" s="29">
        <f t="shared" si="17"/>
        <v>46107.16814</v>
      </c>
    </row>
    <row r="86" ht="13.5" customHeight="1">
      <c r="A86" s="27" t="s">
        <v>101</v>
      </c>
      <c r="B86" s="29">
        <f t="shared" ref="B86:AK86" si="18">B73-B82</f>
        <v>-11864.11024</v>
      </c>
      <c r="C86" s="29">
        <f t="shared" si="18"/>
        <v>-23532.51432</v>
      </c>
      <c r="D86" s="29">
        <f t="shared" si="18"/>
        <v>-36277.63628</v>
      </c>
      <c r="E86" s="29">
        <f t="shared" si="18"/>
        <v>-51142.70814</v>
      </c>
      <c r="F86" s="29">
        <f t="shared" si="18"/>
        <v>-63707.75816</v>
      </c>
      <c r="G86" s="29">
        <f t="shared" si="18"/>
        <v>-74001.53661</v>
      </c>
      <c r="H86" s="29">
        <f t="shared" si="18"/>
        <v>-82052.43439</v>
      </c>
      <c r="I86" s="29">
        <f t="shared" si="18"/>
        <v>-87888.48751</v>
      </c>
      <c r="J86" s="29">
        <f t="shared" si="18"/>
        <v>-91537.38152</v>
      </c>
      <c r="K86" s="29">
        <f t="shared" si="18"/>
        <v>-93026.45591</v>
      </c>
      <c r="L86" s="29">
        <f t="shared" si="18"/>
        <v>-92382.70843</v>
      </c>
      <c r="M86" s="29">
        <f t="shared" si="18"/>
        <v>-89632.79935</v>
      </c>
      <c r="N86" s="29">
        <f t="shared" si="18"/>
        <v>-84803.0557</v>
      </c>
      <c r="O86" s="29">
        <f t="shared" si="18"/>
        <v>-77919.47539</v>
      </c>
      <c r="P86" s="29">
        <f t="shared" si="18"/>
        <v>-69007.7314</v>
      </c>
      <c r="Q86" s="29">
        <f t="shared" si="18"/>
        <v>-58093.17577</v>
      </c>
      <c r="R86" s="29">
        <f t="shared" si="18"/>
        <v>-45200.84364</v>
      </c>
      <c r="S86" s="29">
        <f t="shared" si="18"/>
        <v>-30355.45722</v>
      </c>
      <c r="T86" s="29">
        <f t="shared" si="18"/>
        <v>-13581.42969</v>
      </c>
      <c r="U86" s="29">
        <f t="shared" si="18"/>
        <v>5097.130936</v>
      </c>
      <c r="V86" s="29">
        <f t="shared" si="18"/>
        <v>25656.418</v>
      </c>
      <c r="W86" s="29">
        <f t="shared" si="18"/>
        <v>48072.92241</v>
      </c>
      <c r="X86" s="29">
        <f t="shared" si="18"/>
        <v>72323.42897</v>
      </c>
      <c r="Y86" s="29">
        <f t="shared" si="18"/>
        <v>98385.01263</v>
      </c>
      <c r="Z86" s="29">
        <f t="shared" si="18"/>
        <v>126235.0349</v>
      </c>
      <c r="AA86" s="29">
        <f t="shared" si="18"/>
        <v>155851.1404</v>
      </c>
      <c r="AB86" s="29">
        <f t="shared" si="18"/>
        <v>187211.253</v>
      </c>
      <c r="AC86" s="29">
        <f t="shared" si="18"/>
        <v>220293.5726</v>
      </c>
      <c r="AD86" s="29">
        <f t="shared" si="18"/>
        <v>255076.5717</v>
      </c>
      <c r="AE86" s="29">
        <f t="shared" si="18"/>
        <v>291538.9917</v>
      </c>
      <c r="AF86" s="29">
        <f t="shared" si="18"/>
        <v>329659.84</v>
      </c>
      <c r="AG86" s="29">
        <f t="shared" si="18"/>
        <v>369418.386</v>
      </c>
      <c r="AH86" s="29">
        <f t="shared" si="18"/>
        <v>410794.1587</v>
      </c>
      <c r="AI86" s="29">
        <f t="shared" si="18"/>
        <v>453766.9427</v>
      </c>
      <c r="AJ86" s="29">
        <f t="shared" si="18"/>
        <v>498316.7753</v>
      </c>
      <c r="AK86" s="29">
        <f t="shared" si="18"/>
        <v>544423.9434</v>
      </c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ht="19.5" customHeight="1">
      <c r="A104" s="76" t="s">
        <v>102</v>
      </c>
      <c r="B104" s="11"/>
      <c r="C104" s="11"/>
      <c r="D104" s="11"/>
      <c r="E104" s="11"/>
      <c r="F104" s="11"/>
      <c r="G104" s="1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ht="15.0" customHeight="1">
      <c r="A105" s="5"/>
      <c r="B105" s="5"/>
      <c r="C105" s="5"/>
      <c r="D105" s="5"/>
      <c r="E105" s="5"/>
      <c r="F105" s="5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ht="13.5" customHeight="1">
      <c r="A106" s="3"/>
      <c r="B106" s="77" t="s">
        <v>50</v>
      </c>
      <c r="C106" s="77" t="s">
        <v>51</v>
      </c>
      <c r="D106" s="77" t="s">
        <v>52</v>
      </c>
      <c r="E106" s="77" t="s">
        <v>53</v>
      </c>
      <c r="F106" s="77" t="s">
        <v>54</v>
      </c>
      <c r="G106" s="77" t="s">
        <v>55</v>
      </c>
      <c r="H106" s="77" t="s">
        <v>56</v>
      </c>
      <c r="I106" s="77" t="s">
        <v>57</v>
      </c>
      <c r="J106" s="77" t="s">
        <v>58</v>
      </c>
      <c r="K106" s="77" t="s">
        <v>59</v>
      </c>
      <c r="L106" s="77" t="s">
        <v>60</v>
      </c>
      <c r="M106" s="77" t="s">
        <v>61</v>
      </c>
      <c r="N106" s="77" t="s">
        <v>62</v>
      </c>
      <c r="O106" s="77" t="s">
        <v>63</v>
      </c>
      <c r="P106" s="77" t="s">
        <v>64</v>
      </c>
      <c r="Q106" s="77" t="s">
        <v>65</v>
      </c>
      <c r="R106" s="77" t="s">
        <v>66</v>
      </c>
      <c r="S106" s="77" t="s">
        <v>67</v>
      </c>
      <c r="T106" s="77" t="s">
        <v>68</v>
      </c>
      <c r="U106" s="77" t="s">
        <v>69</v>
      </c>
      <c r="V106" s="77" t="s">
        <v>70</v>
      </c>
      <c r="W106" s="77" t="s">
        <v>71</v>
      </c>
      <c r="X106" s="77" t="s">
        <v>72</v>
      </c>
      <c r="Y106" s="77" t="s">
        <v>73</v>
      </c>
      <c r="Z106" s="77" t="s">
        <v>74</v>
      </c>
      <c r="AA106" s="77" t="s">
        <v>75</v>
      </c>
      <c r="AB106" s="77" t="s">
        <v>76</v>
      </c>
      <c r="AC106" s="77" t="s">
        <v>77</v>
      </c>
      <c r="AD106" s="77" t="s">
        <v>78</v>
      </c>
      <c r="AE106" s="77" t="s">
        <v>79</v>
      </c>
      <c r="AF106" s="77" t="s">
        <v>80</v>
      </c>
      <c r="AG106" s="77" t="s">
        <v>81</v>
      </c>
      <c r="AH106" s="77" t="s">
        <v>82</v>
      </c>
      <c r="AI106" s="77" t="s">
        <v>83</v>
      </c>
      <c r="AJ106" s="77" t="s">
        <v>84</v>
      </c>
      <c r="AK106" s="77" t="s">
        <v>85</v>
      </c>
    </row>
    <row r="107" ht="13.5" customHeight="1">
      <c r="A107" s="17" t="s">
        <v>103</v>
      </c>
      <c r="B107" s="78">
        <v>2.0</v>
      </c>
      <c r="C107" s="78">
        <v>2.0</v>
      </c>
      <c r="D107" s="78">
        <v>2.0</v>
      </c>
      <c r="E107" s="78">
        <v>2.0</v>
      </c>
      <c r="F107" s="78">
        <v>2.0</v>
      </c>
      <c r="G107" s="78">
        <v>2.0</v>
      </c>
      <c r="H107" s="78">
        <v>2.0</v>
      </c>
      <c r="I107" s="78">
        <v>2.0</v>
      </c>
      <c r="J107" s="78">
        <v>2.0</v>
      </c>
      <c r="K107" s="78">
        <v>2.0</v>
      </c>
      <c r="L107" s="78">
        <v>2.0</v>
      </c>
      <c r="M107" s="78">
        <v>2.0</v>
      </c>
      <c r="N107" s="78">
        <v>2.0</v>
      </c>
      <c r="O107" s="78">
        <v>2.0</v>
      </c>
      <c r="P107" s="78">
        <v>2.0</v>
      </c>
      <c r="Q107" s="78">
        <v>2.0</v>
      </c>
      <c r="R107" s="78">
        <v>2.0</v>
      </c>
      <c r="S107" s="78">
        <v>2.0</v>
      </c>
      <c r="T107" s="78">
        <v>2.0</v>
      </c>
      <c r="U107" s="78">
        <v>2.0</v>
      </c>
      <c r="V107" s="78">
        <v>2.0</v>
      </c>
      <c r="W107" s="78">
        <v>2.0</v>
      </c>
      <c r="X107" s="78">
        <v>2.0</v>
      </c>
      <c r="Y107" s="78">
        <v>2.0</v>
      </c>
      <c r="Z107" s="78">
        <v>2.0</v>
      </c>
      <c r="AA107" s="78">
        <v>2.0</v>
      </c>
      <c r="AB107" s="78">
        <v>2.0</v>
      </c>
      <c r="AC107" s="78">
        <v>2.0</v>
      </c>
      <c r="AD107" s="78">
        <v>2.0</v>
      </c>
      <c r="AE107" s="78">
        <v>2.0</v>
      </c>
      <c r="AF107" s="78">
        <v>2.0</v>
      </c>
      <c r="AG107" s="78">
        <v>2.0</v>
      </c>
      <c r="AH107" s="78">
        <v>2.0</v>
      </c>
      <c r="AI107" s="78">
        <v>2.0</v>
      </c>
      <c r="AJ107" s="78">
        <v>2.0</v>
      </c>
      <c r="AK107" s="78">
        <v>2.0</v>
      </c>
    </row>
    <row r="108" ht="13.5" hidden="1" customHeight="1">
      <c r="A108" s="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ht="13.5" hidden="1" customHeight="1">
      <c r="A109" s="79" t="s">
        <v>104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ht="13.5" hidden="1" customHeight="1">
      <c r="A110" s="79" t="s">
        <v>105</v>
      </c>
      <c r="B110" s="65" t="s">
        <v>50</v>
      </c>
      <c r="C110" s="65" t="s">
        <v>51</v>
      </c>
      <c r="D110" s="65" t="s">
        <v>52</v>
      </c>
      <c r="E110" s="65" t="s">
        <v>53</v>
      </c>
      <c r="F110" s="65" t="s">
        <v>54</v>
      </c>
      <c r="G110" s="65" t="s">
        <v>55</v>
      </c>
      <c r="H110" s="65" t="s">
        <v>56</v>
      </c>
      <c r="I110" s="65" t="s">
        <v>57</v>
      </c>
      <c r="J110" s="65" t="s">
        <v>58</v>
      </c>
      <c r="K110" s="65" t="s">
        <v>59</v>
      </c>
      <c r="L110" s="65" t="s">
        <v>60</v>
      </c>
      <c r="M110" s="65" t="s">
        <v>61</v>
      </c>
      <c r="N110" s="65" t="s">
        <v>62</v>
      </c>
      <c r="O110" s="65" t="s">
        <v>63</v>
      </c>
      <c r="P110" s="65" t="s">
        <v>64</v>
      </c>
      <c r="Q110" s="65" t="s">
        <v>65</v>
      </c>
      <c r="R110" s="65" t="s">
        <v>66</v>
      </c>
      <c r="S110" s="65" t="s">
        <v>67</v>
      </c>
      <c r="T110" s="65" t="s">
        <v>68</v>
      </c>
      <c r="U110" s="65" t="s">
        <v>69</v>
      </c>
      <c r="V110" s="65" t="s">
        <v>70</v>
      </c>
      <c r="W110" s="65" t="s">
        <v>71</v>
      </c>
      <c r="X110" s="65" t="s">
        <v>72</v>
      </c>
      <c r="Y110" s="65" t="s">
        <v>73</v>
      </c>
      <c r="Z110" s="65" t="s">
        <v>74</v>
      </c>
      <c r="AA110" s="65" t="s">
        <v>75</v>
      </c>
      <c r="AB110" s="65" t="s">
        <v>76</v>
      </c>
      <c r="AC110" s="65" t="s">
        <v>77</v>
      </c>
      <c r="AD110" s="65" t="s">
        <v>78</v>
      </c>
      <c r="AE110" s="65" t="s">
        <v>79</v>
      </c>
      <c r="AF110" s="65" t="s">
        <v>80</v>
      </c>
      <c r="AG110" s="65" t="s">
        <v>81</v>
      </c>
      <c r="AH110" s="65" t="s">
        <v>82</v>
      </c>
      <c r="AI110" s="65" t="s">
        <v>83</v>
      </c>
      <c r="AJ110" s="65" t="s">
        <v>84</v>
      </c>
      <c r="AK110" s="65" t="s">
        <v>85</v>
      </c>
    </row>
    <row r="111" ht="13.5" hidden="1" customHeight="1">
      <c r="A111" s="27" t="s">
        <v>106</v>
      </c>
      <c r="B111" s="80">
        <f t="shared" ref="B111:AK111" si="19">B107</f>
        <v>2</v>
      </c>
      <c r="C111" s="80">
        <f t="shared" si="19"/>
        <v>2</v>
      </c>
      <c r="D111" s="80">
        <f t="shared" si="19"/>
        <v>2</v>
      </c>
      <c r="E111" s="80">
        <f t="shared" si="19"/>
        <v>2</v>
      </c>
      <c r="F111" s="80">
        <f t="shared" si="19"/>
        <v>2</v>
      </c>
      <c r="G111" s="80">
        <f t="shared" si="19"/>
        <v>2</v>
      </c>
      <c r="H111" s="80">
        <f t="shared" si="19"/>
        <v>2</v>
      </c>
      <c r="I111" s="80">
        <f t="shared" si="19"/>
        <v>2</v>
      </c>
      <c r="J111" s="80">
        <f t="shared" si="19"/>
        <v>2</v>
      </c>
      <c r="K111" s="80">
        <f t="shared" si="19"/>
        <v>2</v>
      </c>
      <c r="L111" s="80">
        <f t="shared" si="19"/>
        <v>2</v>
      </c>
      <c r="M111" s="80">
        <f t="shared" si="19"/>
        <v>2</v>
      </c>
      <c r="N111" s="80">
        <f t="shared" si="19"/>
        <v>2</v>
      </c>
      <c r="O111" s="80">
        <f t="shared" si="19"/>
        <v>2</v>
      </c>
      <c r="P111" s="80">
        <f t="shared" si="19"/>
        <v>2</v>
      </c>
      <c r="Q111" s="80">
        <f t="shared" si="19"/>
        <v>2</v>
      </c>
      <c r="R111" s="80">
        <f t="shared" si="19"/>
        <v>2</v>
      </c>
      <c r="S111" s="80">
        <f t="shared" si="19"/>
        <v>2</v>
      </c>
      <c r="T111" s="80">
        <f t="shared" si="19"/>
        <v>2</v>
      </c>
      <c r="U111" s="80">
        <f t="shared" si="19"/>
        <v>2</v>
      </c>
      <c r="V111" s="80">
        <f t="shared" si="19"/>
        <v>2</v>
      </c>
      <c r="W111" s="80">
        <f t="shared" si="19"/>
        <v>2</v>
      </c>
      <c r="X111" s="80">
        <f t="shared" si="19"/>
        <v>2</v>
      </c>
      <c r="Y111" s="80">
        <f t="shared" si="19"/>
        <v>2</v>
      </c>
      <c r="Z111" s="80">
        <f t="shared" si="19"/>
        <v>2</v>
      </c>
      <c r="AA111" s="80">
        <f t="shared" si="19"/>
        <v>2</v>
      </c>
      <c r="AB111" s="80">
        <f t="shared" si="19"/>
        <v>2</v>
      </c>
      <c r="AC111" s="80">
        <f t="shared" si="19"/>
        <v>2</v>
      </c>
      <c r="AD111" s="80">
        <f t="shared" si="19"/>
        <v>2</v>
      </c>
      <c r="AE111" s="80">
        <f t="shared" si="19"/>
        <v>2</v>
      </c>
      <c r="AF111" s="80">
        <f t="shared" si="19"/>
        <v>2</v>
      </c>
      <c r="AG111" s="80">
        <f t="shared" si="19"/>
        <v>2</v>
      </c>
      <c r="AH111" s="80">
        <f t="shared" si="19"/>
        <v>2</v>
      </c>
      <c r="AI111" s="80">
        <f t="shared" si="19"/>
        <v>2</v>
      </c>
      <c r="AJ111" s="80">
        <f t="shared" si="19"/>
        <v>2</v>
      </c>
      <c r="AK111" s="80">
        <f t="shared" si="19"/>
        <v>2</v>
      </c>
    </row>
    <row r="112" ht="13.5" hidden="1" customHeight="1">
      <c r="A112" s="27" t="s">
        <v>107</v>
      </c>
      <c r="B112" s="3"/>
      <c r="C112" s="80">
        <f t="shared" ref="C112:AK112" si="20">B111</f>
        <v>2</v>
      </c>
      <c r="D112" s="80">
        <f t="shared" si="20"/>
        <v>2</v>
      </c>
      <c r="E112" s="80">
        <f t="shared" si="20"/>
        <v>2</v>
      </c>
      <c r="F112" s="80">
        <f t="shared" si="20"/>
        <v>2</v>
      </c>
      <c r="G112" s="80">
        <f t="shared" si="20"/>
        <v>2</v>
      </c>
      <c r="H112" s="80">
        <f t="shared" si="20"/>
        <v>2</v>
      </c>
      <c r="I112" s="80">
        <f t="shared" si="20"/>
        <v>2</v>
      </c>
      <c r="J112" s="80">
        <f t="shared" si="20"/>
        <v>2</v>
      </c>
      <c r="K112" s="80">
        <f t="shared" si="20"/>
        <v>2</v>
      </c>
      <c r="L112" s="80">
        <f t="shared" si="20"/>
        <v>2</v>
      </c>
      <c r="M112" s="80">
        <f t="shared" si="20"/>
        <v>2</v>
      </c>
      <c r="N112" s="80">
        <f t="shared" si="20"/>
        <v>2</v>
      </c>
      <c r="O112" s="80">
        <f t="shared" si="20"/>
        <v>2</v>
      </c>
      <c r="P112" s="80">
        <f t="shared" si="20"/>
        <v>2</v>
      </c>
      <c r="Q112" s="80">
        <f t="shared" si="20"/>
        <v>2</v>
      </c>
      <c r="R112" s="80">
        <f t="shared" si="20"/>
        <v>2</v>
      </c>
      <c r="S112" s="80">
        <f t="shared" si="20"/>
        <v>2</v>
      </c>
      <c r="T112" s="80">
        <f t="shared" si="20"/>
        <v>2</v>
      </c>
      <c r="U112" s="80">
        <f t="shared" si="20"/>
        <v>2</v>
      </c>
      <c r="V112" s="80">
        <f t="shared" si="20"/>
        <v>2</v>
      </c>
      <c r="W112" s="80">
        <f t="shared" si="20"/>
        <v>2</v>
      </c>
      <c r="X112" s="80">
        <f t="shared" si="20"/>
        <v>2</v>
      </c>
      <c r="Y112" s="80">
        <f t="shared" si="20"/>
        <v>2</v>
      </c>
      <c r="Z112" s="80">
        <f t="shared" si="20"/>
        <v>2</v>
      </c>
      <c r="AA112" s="80">
        <f t="shared" si="20"/>
        <v>2</v>
      </c>
      <c r="AB112" s="80">
        <f t="shared" si="20"/>
        <v>2</v>
      </c>
      <c r="AC112" s="80">
        <f t="shared" si="20"/>
        <v>2</v>
      </c>
      <c r="AD112" s="80">
        <f t="shared" si="20"/>
        <v>2</v>
      </c>
      <c r="AE112" s="80">
        <f t="shared" si="20"/>
        <v>2</v>
      </c>
      <c r="AF112" s="80">
        <f t="shared" si="20"/>
        <v>2</v>
      </c>
      <c r="AG112" s="80">
        <f t="shared" si="20"/>
        <v>2</v>
      </c>
      <c r="AH112" s="80">
        <f t="shared" si="20"/>
        <v>2</v>
      </c>
      <c r="AI112" s="80">
        <f t="shared" si="20"/>
        <v>2</v>
      </c>
      <c r="AJ112" s="80">
        <f t="shared" si="20"/>
        <v>2</v>
      </c>
      <c r="AK112" s="80">
        <f t="shared" si="20"/>
        <v>2</v>
      </c>
    </row>
    <row r="113" ht="13.5" hidden="1" customHeight="1">
      <c r="A113" s="27" t="s">
        <v>108</v>
      </c>
      <c r="B113" s="3"/>
      <c r="C113" s="3"/>
      <c r="D113" s="80">
        <f t="shared" ref="D113:AK113" si="21">C112</f>
        <v>2</v>
      </c>
      <c r="E113" s="80">
        <f t="shared" si="21"/>
        <v>2</v>
      </c>
      <c r="F113" s="80">
        <f t="shared" si="21"/>
        <v>2</v>
      </c>
      <c r="G113" s="80">
        <f t="shared" si="21"/>
        <v>2</v>
      </c>
      <c r="H113" s="80">
        <f t="shared" si="21"/>
        <v>2</v>
      </c>
      <c r="I113" s="80">
        <f t="shared" si="21"/>
        <v>2</v>
      </c>
      <c r="J113" s="80">
        <f t="shared" si="21"/>
        <v>2</v>
      </c>
      <c r="K113" s="80">
        <f t="shared" si="21"/>
        <v>2</v>
      </c>
      <c r="L113" s="80">
        <f t="shared" si="21"/>
        <v>2</v>
      </c>
      <c r="M113" s="80">
        <f t="shared" si="21"/>
        <v>2</v>
      </c>
      <c r="N113" s="80">
        <f t="shared" si="21"/>
        <v>2</v>
      </c>
      <c r="O113" s="80">
        <f t="shared" si="21"/>
        <v>2</v>
      </c>
      <c r="P113" s="80">
        <f t="shared" si="21"/>
        <v>2</v>
      </c>
      <c r="Q113" s="80">
        <f t="shared" si="21"/>
        <v>2</v>
      </c>
      <c r="R113" s="80">
        <f t="shared" si="21"/>
        <v>2</v>
      </c>
      <c r="S113" s="80">
        <f t="shared" si="21"/>
        <v>2</v>
      </c>
      <c r="T113" s="80">
        <f t="shared" si="21"/>
        <v>2</v>
      </c>
      <c r="U113" s="80">
        <f t="shared" si="21"/>
        <v>2</v>
      </c>
      <c r="V113" s="80">
        <f t="shared" si="21"/>
        <v>2</v>
      </c>
      <c r="W113" s="80">
        <f t="shared" si="21"/>
        <v>2</v>
      </c>
      <c r="X113" s="80">
        <f t="shared" si="21"/>
        <v>2</v>
      </c>
      <c r="Y113" s="80">
        <f t="shared" si="21"/>
        <v>2</v>
      </c>
      <c r="Z113" s="80">
        <f t="shared" si="21"/>
        <v>2</v>
      </c>
      <c r="AA113" s="80">
        <f t="shared" si="21"/>
        <v>2</v>
      </c>
      <c r="AB113" s="80">
        <f t="shared" si="21"/>
        <v>2</v>
      </c>
      <c r="AC113" s="80">
        <f t="shared" si="21"/>
        <v>2</v>
      </c>
      <c r="AD113" s="80">
        <f t="shared" si="21"/>
        <v>2</v>
      </c>
      <c r="AE113" s="80">
        <f t="shared" si="21"/>
        <v>2</v>
      </c>
      <c r="AF113" s="80">
        <f t="shared" si="21"/>
        <v>2</v>
      </c>
      <c r="AG113" s="80">
        <f t="shared" si="21"/>
        <v>2</v>
      </c>
      <c r="AH113" s="80">
        <f t="shared" si="21"/>
        <v>2</v>
      </c>
      <c r="AI113" s="80">
        <f t="shared" si="21"/>
        <v>2</v>
      </c>
      <c r="AJ113" s="80">
        <f t="shared" si="21"/>
        <v>2</v>
      </c>
      <c r="AK113" s="80">
        <f t="shared" si="21"/>
        <v>2</v>
      </c>
    </row>
    <row r="114" ht="13.5" hidden="1" customHeight="1">
      <c r="A114" s="27" t="s">
        <v>109</v>
      </c>
      <c r="B114" s="3"/>
      <c r="C114" s="3"/>
      <c r="D114" s="3"/>
      <c r="E114" s="80">
        <f t="shared" ref="E114:AK114" si="22">D113</f>
        <v>2</v>
      </c>
      <c r="F114" s="80">
        <f t="shared" si="22"/>
        <v>2</v>
      </c>
      <c r="G114" s="80">
        <f t="shared" si="22"/>
        <v>2</v>
      </c>
      <c r="H114" s="80">
        <f t="shared" si="22"/>
        <v>2</v>
      </c>
      <c r="I114" s="80">
        <f t="shared" si="22"/>
        <v>2</v>
      </c>
      <c r="J114" s="80">
        <f t="shared" si="22"/>
        <v>2</v>
      </c>
      <c r="K114" s="80">
        <f t="shared" si="22"/>
        <v>2</v>
      </c>
      <c r="L114" s="80">
        <f t="shared" si="22"/>
        <v>2</v>
      </c>
      <c r="M114" s="80">
        <f t="shared" si="22"/>
        <v>2</v>
      </c>
      <c r="N114" s="80">
        <f t="shared" si="22"/>
        <v>2</v>
      </c>
      <c r="O114" s="80">
        <f t="shared" si="22"/>
        <v>2</v>
      </c>
      <c r="P114" s="80">
        <f t="shared" si="22"/>
        <v>2</v>
      </c>
      <c r="Q114" s="80">
        <f t="shared" si="22"/>
        <v>2</v>
      </c>
      <c r="R114" s="80">
        <f t="shared" si="22"/>
        <v>2</v>
      </c>
      <c r="S114" s="80">
        <f t="shared" si="22"/>
        <v>2</v>
      </c>
      <c r="T114" s="80">
        <f t="shared" si="22"/>
        <v>2</v>
      </c>
      <c r="U114" s="80">
        <f t="shared" si="22"/>
        <v>2</v>
      </c>
      <c r="V114" s="80">
        <f t="shared" si="22"/>
        <v>2</v>
      </c>
      <c r="W114" s="80">
        <f t="shared" si="22"/>
        <v>2</v>
      </c>
      <c r="X114" s="80">
        <f t="shared" si="22"/>
        <v>2</v>
      </c>
      <c r="Y114" s="80">
        <f t="shared" si="22"/>
        <v>2</v>
      </c>
      <c r="Z114" s="80">
        <f t="shared" si="22"/>
        <v>2</v>
      </c>
      <c r="AA114" s="80">
        <f t="shared" si="22"/>
        <v>2</v>
      </c>
      <c r="AB114" s="80">
        <f t="shared" si="22"/>
        <v>2</v>
      </c>
      <c r="AC114" s="80">
        <f t="shared" si="22"/>
        <v>2</v>
      </c>
      <c r="AD114" s="80">
        <f t="shared" si="22"/>
        <v>2</v>
      </c>
      <c r="AE114" s="80">
        <f t="shared" si="22"/>
        <v>2</v>
      </c>
      <c r="AF114" s="80">
        <f t="shared" si="22"/>
        <v>2</v>
      </c>
      <c r="AG114" s="80">
        <f t="shared" si="22"/>
        <v>2</v>
      </c>
      <c r="AH114" s="80">
        <f t="shared" si="22"/>
        <v>2</v>
      </c>
      <c r="AI114" s="80">
        <f t="shared" si="22"/>
        <v>2</v>
      </c>
      <c r="AJ114" s="80">
        <f t="shared" si="22"/>
        <v>2</v>
      </c>
      <c r="AK114" s="80">
        <f t="shared" si="22"/>
        <v>2</v>
      </c>
    </row>
    <row r="115" ht="13.5" hidden="1" customHeight="1">
      <c r="A115" s="27" t="s">
        <v>110</v>
      </c>
      <c r="B115" s="3"/>
      <c r="C115" s="3"/>
      <c r="D115" s="3"/>
      <c r="E115" s="3"/>
      <c r="F115" s="80">
        <f t="shared" ref="F115:AK115" si="23">E114</f>
        <v>2</v>
      </c>
      <c r="G115" s="80">
        <f t="shared" si="23"/>
        <v>2</v>
      </c>
      <c r="H115" s="80">
        <f t="shared" si="23"/>
        <v>2</v>
      </c>
      <c r="I115" s="80">
        <f t="shared" si="23"/>
        <v>2</v>
      </c>
      <c r="J115" s="80">
        <f t="shared" si="23"/>
        <v>2</v>
      </c>
      <c r="K115" s="80">
        <f t="shared" si="23"/>
        <v>2</v>
      </c>
      <c r="L115" s="80">
        <f t="shared" si="23"/>
        <v>2</v>
      </c>
      <c r="M115" s="80">
        <f t="shared" si="23"/>
        <v>2</v>
      </c>
      <c r="N115" s="80">
        <f t="shared" si="23"/>
        <v>2</v>
      </c>
      <c r="O115" s="80">
        <f t="shared" si="23"/>
        <v>2</v>
      </c>
      <c r="P115" s="80">
        <f t="shared" si="23"/>
        <v>2</v>
      </c>
      <c r="Q115" s="80">
        <f t="shared" si="23"/>
        <v>2</v>
      </c>
      <c r="R115" s="80">
        <f t="shared" si="23"/>
        <v>2</v>
      </c>
      <c r="S115" s="80">
        <f t="shared" si="23"/>
        <v>2</v>
      </c>
      <c r="T115" s="80">
        <f t="shared" si="23"/>
        <v>2</v>
      </c>
      <c r="U115" s="80">
        <f t="shared" si="23"/>
        <v>2</v>
      </c>
      <c r="V115" s="80">
        <f t="shared" si="23"/>
        <v>2</v>
      </c>
      <c r="W115" s="80">
        <f t="shared" si="23"/>
        <v>2</v>
      </c>
      <c r="X115" s="80">
        <f t="shared" si="23"/>
        <v>2</v>
      </c>
      <c r="Y115" s="80">
        <f t="shared" si="23"/>
        <v>2</v>
      </c>
      <c r="Z115" s="80">
        <f t="shared" si="23"/>
        <v>2</v>
      </c>
      <c r="AA115" s="80">
        <f t="shared" si="23"/>
        <v>2</v>
      </c>
      <c r="AB115" s="80">
        <f t="shared" si="23"/>
        <v>2</v>
      </c>
      <c r="AC115" s="80">
        <f t="shared" si="23"/>
        <v>2</v>
      </c>
      <c r="AD115" s="80">
        <f t="shared" si="23"/>
        <v>2</v>
      </c>
      <c r="AE115" s="80">
        <f t="shared" si="23"/>
        <v>2</v>
      </c>
      <c r="AF115" s="80">
        <f t="shared" si="23"/>
        <v>2</v>
      </c>
      <c r="AG115" s="80">
        <f t="shared" si="23"/>
        <v>2</v>
      </c>
      <c r="AH115" s="80">
        <f t="shared" si="23"/>
        <v>2</v>
      </c>
      <c r="AI115" s="80">
        <f t="shared" si="23"/>
        <v>2</v>
      </c>
      <c r="AJ115" s="80">
        <f t="shared" si="23"/>
        <v>2</v>
      </c>
      <c r="AK115" s="80">
        <f t="shared" si="23"/>
        <v>2</v>
      </c>
    </row>
    <row r="116" ht="13.5" hidden="1" customHeight="1">
      <c r="A116" s="27" t="s">
        <v>111</v>
      </c>
      <c r="B116" s="3"/>
      <c r="C116" s="3"/>
      <c r="D116" s="3"/>
      <c r="E116" s="3"/>
      <c r="F116" s="3"/>
      <c r="G116" s="80">
        <f t="shared" ref="G116:AK116" si="24">F115</f>
        <v>2</v>
      </c>
      <c r="H116" s="80">
        <f t="shared" si="24"/>
        <v>2</v>
      </c>
      <c r="I116" s="80">
        <f t="shared" si="24"/>
        <v>2</v>
      </c>
      <c r="J116" s="80">
        <f t="shared" si="24"/>
        <v>2</v>
      </c>
      <c r="K116" s="80">
        <f t="shared" si="24"/>
        <v>2</v>
      </c>
      <c r="L116" s="80">
        <f t="shared" si="24"/>
        <v>2</v>
      </c>
      <c r="M116" s="80">
        <f t="shared" si="24"/>
        <v>2</v>
      </c>
      <c r="N116" s="80">
        <f t="shared" si="24"/>
        <v>2</v>
      </c>
      <c r="O116" s="80">
        <f t="shared" si="24"/>
        <v>2</v>
      </c>
      <c r="P116" s="80">
        <f t="shared" si="24"/>
        <v>2</v>
      </c>
      <c r="Q116" s="80">
        <f t="shared" si="24"/>
        <v>2</v>
      </c>
      <c r="R116" s="80">
        <f t="shared" si="24"/>
        <v>2</v>
      </c>
      <c r="S116" s="80">
        <f t="shared" si="24"/>
        <v>2</v>
      </c>
      <c r="T116" s="80">
        <f t="shared" si="24"/>
        <v>2</v>
      </c>
      <c r="U116" s="80">
        <f t="shared" si="24"/>
        <v>2</v>
      </c>
      <c r="V116" s="80">
        <f t="shared" si="24"/>
        <v>2</v>
      </c>
      <c r="W116" s="80">
        <f t="shared" si="24"/>
        <v>2</v>
      </c>
      <c r="X116" s="80">
        <f t="shared" si="24"/>
        <v>2</v>
      </c>
      <c r="Y116" s="80">
        <f t="shared" si="24"/>
        <v>2</v>
      </c>
      <c r="Z116" s="80">
        <f t="shared" si="24"/>
        <v>2</v>
      </c>
      <c r="AA116" s="80">
        <f t="shared" si="24"/>
        <v>2</v>
      </c>
      <c r="AB116" s="80">
        <f t="shared" si="24"/>
        <v>2</v>
      </c>
      <c r="AC116" s="80">
        <f t="shared" si="24"/>
        <v>2</v>
      </c>
      <c r="AD116" s="80">
        <f t="shared" si="24"/>
        <v>2</v>
      </c>
      <c r="AE116" s="80">
        <f t="shared" si="24"/>
        <v>2</v>
      </c>
      <c r="AF116" s="80">
        <f t="shared" si="24"/>
        <v>2</v>
      </c>
      <c r="AG116" s="80">
        <f t="shared" si="24"/>
        <v>2</v>
      </c>
      <c r="AH116" s="80">
        <f t="shared" si="24"/>
        <v>2</v>
      </c>
      <c r="AI116" s="80">
        <f t="shared" si="24"/>
        <v>2</v>
      </c>
      <c r="AJ116" s="80">
        <f t="shared" si="24"/>
        <v>2</v>
      </c>
      <c r="AK116" s="80">
        <f t="shared" si="24"/>
        <v>2</v>
      </c>
    </row>
    <row r="117" ht="13.5" hidden="1" customHeight="1">
      <c r="A117" s="27" t="s">
        <v>112</v>
      </c>
      <c r="B117" s="3"/>
      <c r="C117" s="3"/>
      <c r="D117" s="3"/>
      <c r="E117" s="3"/>
      <c r="F117" s="3"/>
      <c r="G117" s="3"/>
      <c r="H117" s="80">
        <f t="shared" ref="H117:AK117" si="25">G116</f>
        <v>2</v>
      </c>
      <c r="I117" s="80">
        <f t="shared" si="25"/>
        <v>2</v>
      </c>
      <c r="J117" s="80">
        <f t="shared" si="25"/>
        <v>2</v>
      </c>
      <c r="K117" s="80">
        <f t="shared" si="25"/>
        <v>2</v>
      </c>
      <c r="L117" s="80">
        <f t="shared" si="25"/>
        <v>2</v>
      </c>
      <c r="M117" s="80">
        <f t="shared" si="25"/>
        <v>2</v>
      </c>
      <c r="N117" s="80">
        <f t="shared" si="25"/>
        <v>2</v>
      </c>
      <c r="O117" s="80">
        <f t="shared" si="25"/>
        <v>2</v>
      </c>
      <c r="P117" s="80">
        <f t="shared" si="25"/>
        <v>2</v>
      </c>
      <c r="Q117" s="80">
        <f t="shared" si="25"/>
        <v>2</v>
      </c>
      <c r="R117" s="80">
        <f t="shared" si="25"/>
        <v>2</v>
      </c>
      <c r="S117" s="80">
        <f t="shared" si="25"/>
        <v>2</v>
      </c>
      <c r="T117" s="80">
        <f t="shared" si="25"/>
        <v>2</v>
      </c>
      <c r="U117" s="80">
        <f t="shared" si="25"/>
        <v>2</v>
      </c>
      <c r="V117" s="80">
        <f t="shared" si="25"/>
        <v>2</v>
      </c>
      <c r="W117" s="80">
        <f t="shared" si="25"/>
        <v>2</v>
      </c>
      <c r="X117" s="80">
        <f t="shared" si="25"/>
        <v>2</v>
      </c>
      <c r="Y117" s="80">
        <f t="shared" si="25"/>
        <v>2</v>
      </c>
      <c r="Z117" s="80">
        <f t="shared" si="25"/>
        <v>2</v>
      </c>
      <c r="AA117" s="80">
        <f t="shared" si="25"/>
        <v>2</v>
      </c>
      <c r="AB117" s="80">
        <f t="shared" si="25"/>
        <v>2</v>
      </c>
      <c r="AC117" s="80">
        <f t="shared" si="25"/>
        <v>2</v>
      </c>
      <c r="AD117" s="80">
        <f t="shared" si="25"/>
        <v>2</v>
      </c>
      <c r="AE117" s="80">
        <f t="shared" si="25"/>
        <v>2</v>
      </c>
      <c r="AF117" s="80">
        <f t="shared" si="25"/>
        <v>2</v>
      </c>
      <c r="AG117" s="80">
        <f t="shared" si="25"/>
        <v>2</v>
      </c>
      <c r="AH117" s="80">
        <f t="shared" si="25"/>
        <v>2</v>
      </c>
      <c r="AI117" s="80">
        <f t="shared" si="25"/>
        <v>2</v>
      </c>
      <c r="AJ117" s="80">
        <f t="shared" si="25"/>
        <v>2</v>
      </c>
      <c r="AK117" s="80">
        <f t="shared" si="25"/>
        <v>2</v>
      </c>
    </row>
    <row r="118" ht="13.5" hidden="1" customHeight="1">
      <c r="A118" s="27" t="s">
        <v>109</v>
      </c>
      <c r="B118" s="3"/>
      <c r="C118" s="3"/>
      <c r="D118" s="3"/>
      <c r="E118" s="3"/>
      <c r="F118" s="3"/>
      <c r="G118" s="3"/>
      <c r="H118" s="3"/>
      <c r="I118" s="80">
        <f t="shared" ref="I118:AK118" si="26">H117</f>
        <v>2</v>
      </c>
      <c r="J118" s="80">
        <f t="shared" si="26"/>
        <v>2</v>
      </c>
      <c r="K118" s="80">
        <f t="shared" si="26"/>
        <v>2</v>
      </c>
      <c r="L118" s="80">
        <f t="shared" si="26"/>
        <v>2</v>
      </c>
      <c r="M118" s="80">
        <f t="shared" si="26"/>
        <v>2</v>
      </c>
      <c r="N118" s="80">
        <f t="shared" si="26"/>
        <v>2</v>
      </c>
      <c r="O118" s="80">
        <f t="shared" si="26"/>
        <v>2</v>
      </c>
      <c r="P118" s="80">
        <f t="shared" si="26"/>
        <v>2</v>
      </c>
      <c r="Q118" s="80">
        <f t="shared" si="26"/>
        <v>2</v>
      </c>
      <c r="R118" s="80">
        <f t="shared" si="26"/>
        <v>2</v>
      </c>
      <c r="S118" s="80">
        <f t="shared" si="26"/>
        <v>2</v>
      </c>
      <c r="T118" s="80">
        <f t="shared" si="26"/>
        <v>2</v>
      </c>
      <c r="U118" s="80">
        <f t="shared" si="26"/>
        <v>2</v>
      </c>
      <c r="V118" s="80">
        <f t="shared" si="26"/>
        <v>2</v>
      </c>
      <c r="W118" s="80">
        <f t="shared" si="26"/>
        <v>2</v>
      </c>
      <c r="X118" s="80">
        <f t="shared" si="26"/>
        <v>2</v>
      </c>
      <c r="Y118" s="80">
        <f t="shared" si="26"/>
        <v>2</v>
      </c>
      <c r="Z118" s="80">
        <f t="shared" si="26"/>
        <v>2</v>
      </c>
      <c r="AA118" s="80">
        <f t="shared" si="26"/>
        <v>2</v>
      </c>
      <c r="AB118" s="80">
        <f t="shared" si="26"/>
        <v>2</v>
      </c>
      <c r="AC118" s="80">
        <f t="shared" si="26"/>
        <v>2</v>
      </c>
      <c r="AD118" s="80">
        <f t="shared" si="26"/>
        <v>2</v>
      </c>
      <c r="AE118" s="80">
        <f t="shared" si="26"/>
        <v>2</v>
      </c>
      <c r="AF118" s="80">
        <f t="shared" si="26"/>
        <v>2</v>
      </c>
      <c r="AG118" s="80">
        <f t="shared" si="26"/>
        <v>2</v>
      </c>
      <c r="AH118" s="80">
        <f t="shared" si="26"/>
        <v>2</v>
      </c>
      <c r="AI118" s="80">
        <f t="shared" si="26"/>
        <v>2</v>
      </c>
      <c r="AJ118" s="80">
        <f t="shared" si="26"/>
        <v>2</v>
      </c>
      <c r="AK118" s="80">
        <f t="shared" si="26"/>
        <v>2</v>
      </c>
    </row>
    <row r="119" ht="13.5" hidden="1" customHeight="1">
      <c r="A119" s="27" t="s">
        <v>109</v>
      </c>
      <c r="B119" s="3"/>
      <c r="C119" s="3"/>
      <c r="D119" s="3"/>
      <c r="E119" s="3"/>
      <c r="F119" s="3"/>
      <c r="G119" s="3"/>
      <c r="H119" s="3"/>
      <c r="I119" s="3"/>
      <c r="J119" s="80">
        <f t="shared" ref="J119:AK119" si="27">I118</f>
        <v>2</v>
      </c>
      <c r="K119" s="80">
        <f t="shared" si="27"/>
        <v>2</v>
      </c>
      <c r="L119" s="80">
        <f t="shared" si="27"/>
        <v>2</v>
      </c>
      <c r="M119" s="80">
        <f t="shared" si="27"/>
        <v>2</v>
      </c>
      <c r="N119" s="80">
        <f t="shared" si="27"/>
        <v>2</v>
      </c>
      <c r="O119" s="80">
        <f t="shared" si="27"/>
        <v>2</v>
      </c>
      <c r="P119" s="80">
        <f t="shared" si="27"/>
        <v>2</v>
      </c>
      <c r="Q119" s="80">
        <f t="shared" si="27"/>
        <v>2</v>
      </c>
      <c r="R119" s="80">
        <f t="shared" si="27"/>
        <v>2</v>
      </c>
      <c r="S119" s="80">
        <f t="shared" si="27"/>
        <v>2</v>
      </c>
      <c r="T119" s="80">
        <f t="shared" si="27"/>
        <v>2</v>
      </c>
      <c r="U119" s="80">
        <f t="shared" si="27"/>
        <v>2</v>
      </c>
      <c r="V119" s="80">
        <f t="shared" si="27"/>
        <v>2</v>
      </c>
      <c r="W119" s="80">
        <f t="shared" si="27"/>
        <v>2</v>
      </c>
      <c r="X119" s="80">
        <f t="shared" si="27"/>
        <v>2</v>
      </c>
      <c r="Y119" s="80">
        <f t="shared" si="27"/>
        <v>2</v>
      </c>
      <c r="Z119" s="80">
        <f t="shared" si="27"/>
        <v>2</v>
      </c>
      <c r="AA119" s="80">
        <f t="shared" si="27"/>
        <v>2</v>
      </c>
      <c r="AB119" s="80">
        <f t="shared" si="27"/>
        <v>2</v>
      </c>
      <c r="AC119" s="80">
        <f t="shared" si="27"/>
        <v>2</v>
      </c>
      <c r="AD119" s="80">
        <f t="shared" si="27"/>
        <v>2</v>
      </c>
      <c r="AE119" s="80">
        <f t="shared" si="27"/>
        <v>2</v>
      </c>
      <c r="AF119" s="80">
        <f t="shared" si="27"/>
        <v>2</v>
      </c>
      <c r="AG119" s="80">
        <f t="shared" si="27"/>
        <v>2</v>
      </c>
      <c r="AH119" s="80">
        <f t="shared" si="27"/>
        <v>2</v>
      </c>
      <c r="AI119" s="80">
        <f t="shared" si="27"/>
        <v>2</v>
      </c>
      <c r="AJ119" s="80">
        <f t="shared" si="27"/>
        <v>2</v>
      </c>
      <c r="AK119" s="80">
        <f t="shared" si="27"/>
        <v>2</v>
      </c>
    </row>
    <row r="120" ht="13.5" hidden="1" customHeight="1">
      <c r="A120" s="70" t="s">
        <v>113</v>
      </c>
      <c r="B120" s="81"/>
      <c r="C120" s="81"/>
      <c r="D120" s="81"/>
      <c r="E120" s="81"/>
      <c r="F120" s="81"/>
      <c r="G120" s="81"/>
      <c r="H120" s="81"/>
      <c r="I120" s="81"/>
      <c r="J120" s="81"/>
      <c r="K120" s="82">
        <f>J119</f>
        <v>2</v>
      </c>
      <c r="L120" s="82">
        <f t="shared" ref="L120:AK120" si="28">K120+K119</f>
        <v>4</v>
      </c>
      <c r="M120" s="82">
        <f t="shared" si="28"/>
        <v>6</v>
      </c>
      <c r="N120" s="82">
        <f t="shared" si="28"/>
        <v>8</v>
      </c>
      <c r="O120" s="82">
        <f t="shared" si="28"/>
        <v>10</v>
      </c>
      <c r="P120" s="82">
        <f t="shared" si="28"/>
        <v>12</v>
      </c>
      <c r="Q120" s="82">
        <f t="shared" si="28"/>
        <v>14</v>
      </c>
      <c r="R120" s="82">
        <f t="shared" si="28"/>
        <v>16</v>
      </c>
      <c r="S120" s="82">
        <f t="shared" si="28"/>
        <v>18</v>
      </c>
      <c r="T120" s="82">
        <f t="shared" si="28"/>
        <v>20</v>
      </c>
      <c r="U120" s="82">
        <f t="shared" si="28"/>
        <v>22</v>
      </c>
      <c r="V120" s="82">
        <f t="shared" si="28"/>
        <v>24</v>
      </c>
      <c r="W120" s="82">
        <f t="shared" si="28"/>
        <v>26</v>
      </c>
      <c r="X120" s="82">
        <f t="shared" si="28"/>
        <v>28</v>
      </c>
      <c r="Y120" s="82">
        <f t="shared" si="28"/>
        <v>30</v>
      </c>
      <c r="Z120" s="82">
        <f t="shared" si="28"/>
        <v>32</v>
      </c>
      <c r="AA120" s="82">
        <f t="shared" si="28"/>
        <v>34</v>
      </c>
      <c r="AB120" s="82">
        <f t="shared" si="28"/>
        <v>36</v>
      </c>
      <c r="AC120" s="82">
        <f t="shared" si="28"/>
        <v>38</v>
      </c>
      <c r="AD120" s="82">
        <f t="shared" si="28"/>
        <v>40</v>
      </c>
      <c r="AE120" s="82">
        <f t="shared" si="28"/>
        <v>42</v>
      </c>
      <c r="AF120" s="82">
        <f t="shared" si="28"/>
        <v>44</v>
      </c>
      <c r="AG120" s="82">
        <f t="shared" si="28"/>
        <v>46</v>
      </c>
      <c r="AH120" s="82">
        <f t="shared" si="28"/>
        <v>48</v>
      </c>
      <c r="AI120" s="82">
        <f t="shared" si="28"/>
        <v>50</v>
      </c>
      <c r="AJ120" s="82">
        <f t="shared" si="28"/>
        <v>52</v>
      </c>
      <c r="AK120" s="82">
        <f t="shared" si="28"/>
        <v>54</v>
      </c>
    </row>
    <row r="121" ht="15.0" customHeight="1">
      <c r="A121" s="72" t="s">
        <v>114</v>
      </c>
      <c r="B121" s="83">
        <f t="shared" ref="B121:AK121" si="29">SUM(B111:B120)</f>
        <v>2</v>
      </c>
      <c r="C121" s="83">
        <f t="shared" si="29"/>
        <v>4</v>
      </c>
      <c r="D121" s="83">
        <f t="shared" si="29"/>
        <v>6</v>
      </c>
      <c r="E121" s="83">
        <f t="shared" si="29"/>
        <v>8</v>
      </c>
      <c r="F121" s="83">
        <f t="shared" si="29"/>
        <v>10</v>
      </c>
      <c r="G121" s="83">
        <f t="shared" si="29"/>
        <v>12</v>
      </c>
      <c r="H121" s="83">
        <f t="shared" si="29"/>
        <v>14</v>
      </c>
      <c r="I121" s="83">
        <f t="shared" si="29"/>
        <v>16</v>
      </c>
      <c r="J121" s="83">
        <f t="shared" si="29"/>
        <v>18</v>
      </c>
      <c r="K121" s="83">
        <f t="shared" si="29"/>
        <v>20</v>
      </c>
      <c r="L121" s="83">
        <f t="shared" si="29"/>
        <v>22</v>
      </c>
      <c r="M121" s="83">
        <f t="shared" si="29"/>
        <v>24</v>
      </c>
      <c r="N121" s="83">
        <f t="shared" si="29"/>
        <v>26</v>
      </c>
      <c r="O121" s="83">
        <f t="shared" si="29"/>
        <v>28</v>
      </c>
      <c r="P121" s="83">
        <f t="shared" si="29"/>
        <v>30</v>
      </c>
      <c r="Q121" s="83">
        <f t="shared" si="29"/>
        <v>32</v>
      </c>
      <c r="R121" s="83">
        <f t="shared" si="29"/>
        <v>34</v>
      </c>
      <c r="S121" s="83">
        <f t="shared" si="29"/>
        <v>36</v>
      </c>
      <c r="T121" s="83">
        <f t="shared" si="29"/>
        <v>38</v>
      </c>
      <c r="U121" s="83">
        <f t="shared" si="29"/>
        <v>40</v>
      </c>
      <c r="V121" s="83">
        <f t="shared" si="29"/>
        <v>42</v>
      </c>
      <c r="W121" s="83">
        <f t="shared" si="29"/>
        <v>44</v>
      </c>
      <c r="X121" s="83">
        <f t="shared" si="29"/>
        <v>46</v>
      </c>
      <c r="Y121" s="83">
        <f t="shared" si="29"/>
        <v>48</v>
      </c>
      <c r="Z121" s="83">
        <f t="shared" si="29"/>
        <v>50</v>
      </c>
      <c r="AA121" s="83">
        <f t="shared" si="29"/>
        <v>52</v>
      </c>
      <c r="AB121" s="83">
        <f t="shared" si="29"/>
        <v>54</v>
      </c>
      <c r="AC121" s="83">
        <f t="shared" si="29"/>
        <v>56</v>
      </c>
      <c r="AD121" s="83">
        <f t="shared" si="29"/>
        <v>58</v>
      </c>
      <c r="AE121" s="83">
        <f t="shared" si="29"/>
        <v>60</v>
      </c>
      <c r="AF121" s="83">
        <f t="shared" si="29"/>
        <v>62</v>
      </c>
      <c r="AG121" s="83">
        <f t="shared" si="29"/>
        <v>64</v>
      </c>
      <c r="AH121" s="83">
        <f t="shared" si="29"/>
        <v>66</v>
      </c>
      <c r="AI121" s="83">
        <f t="shared" si="29"/>
        <v>68</v>
      </c>
      <c r="AJ121" s="83">
        <f t="shared" si="29"/>
        <v>70</v>
      </c>
      <c r="AK121" s="83">
        <f t="shared" si="29"/>
        <v>72</v>
      </c>
    </row>
    <row r="122" ht="15.0" customHeight="1">
      <c r="A122" s="74" t="s">
        <v>115</v>
      </c>
      <c r="B122" s="84">
        <f t="shared" ref="B122:AK122" si="30">B126*(1+$B$40)/$B$51*$B$53</f>
        <v>13.57638889</v>
      </c>
      <c r="C122" s="84">
        <f t="shared" si="30"/>
        <v>58.37847222</v>
      </c>
      <c r="D122" s="84">
        <f t="shared" si="30"/>
        <v>147.9826389</v>
      </c>
      <c r="E122" s="84">
        <f t="shared" si="30"/>
        <v>283.7465278</v>
      </c>
      <c r="F122" s="84">
        <f t="shared" si="30"/>
        <v>419.5104167</v>
      </c>
      <c r="G122" s="84">
        <f t="shared" si="30"/>
        <v>555.2743056</v>
      </c>
      <c r="H122" s="84">
        <f t="shared" si="30"/>
        <v>691.0381944</v>
      </c>
      <c r="I122" s="84">
        <f t="shared" si="30"/>
        <v>826.8020833</v>
      </c>
      <c r="J122" s="84">
        <f t="shared" si="30"/>
        <v>962.5659722</v>
      </c>
      <c r="K122" s="84">
        <f t="shared" si="30"/>
        <v>1098.329861</v>
      </c>
      <c r="L122" s="84">
        <f t="shared" si="30"/>
        <v>1234.09375</v>
      </c>
      <c r="M122" s="84">
        <f t="shared" si="30"/>
        <v>1369.857639</v>
      </c>
      <c r="N122" s="84">
        <f t="shared" si="30"/>
        <v>1505.621528</v>
      </c>
      <c r="O122" s="84">
        <f t="shared" si="30"/>
        <v>1641.385417</v>
      </c>
      <c r="P122" s="84">
        <f t="shared" si="30"/>
        <v>1777.149306</v>
      </c>
      <c r="Q122" s="84">
        <f t="shared" si="30"/>
        <v>1912.913194</v>
      </c>
      <c r="R122" s="84">
        <f t="shared" si="30"/>
        <v>2048.677083</v>
      </c>
      <c r="S122" s="84">
        <f t="shared" si="30"/>
        <v>2184.440972</v>
      </c>
      <c r="T122" s="84">
        <f t="shared" si="30"/>
        <v>2320.204861</v>
      </c>
      <c r="U122" s="84">
        <f t="shared" si="30"/>
        <v>2455.96875</v>
      </c>
      <c r="V122" s="84">
        <f t="shared" si="30"/>
        <v>2591.732639</v>
      </c>
      <c r="W122" s="84">
        <f t="shared" si="30"/>
        <v>2727.496528</v>
      </c>
      <c r="X122" s="84">
        <f t="shared" si="30"/>
        <v>2863.260417</v>
      </c>
      <c r="Y122" s="84">
        <f t="shared" si="30"/>
        <v>2999.024306</v>
      </c>
      <c r="Z122" s="84">
        <f t="shared" si="30"/>
        <v>3134.788194</v>
      </c>
      <c r="AA122" s="84">
        <f t="shared" si="30"/>
        <v>3270.552083</v>
      </c>
      <c r="AB122" s="84">
        <f t="shared" si="30"/>
        <v>3406.315972</v>
      </c>
      <c r="AC122" s="84">
        <f t="shared" si="30"/>
        <v>3542.079861</v>
      </c>
      <c r="AD122" s="84">
        <f t="shared" si="30"/>
        <v>3677.84375</v>
      </c>
      <c r="AE122" s="84">
        <f t="shared" si="30"/>
        <v>3813.607639</v>
      </c>
      <c r="AF122" s="84">
        <f t="shared" si="30"/>
        <v>3949.371528</v>
      </c>
      <c r="AG122" s="84">
        <f t="shared" si="30"/>
        <v>4085.135417</v>
      </c>
      <c r="AH122" s="84">
        <f t="shared" si="30"/>
        <v>4220.899306</v>
      </c>
      <c r="AI122" s="84">
        <f t="shared" si="30"/>
        <v>4356.663194</v>
      </c>
      <c r="AJ122" s="84">
        <f t="shared" si="30"/>
        <v>4492.427083</v>
      </c>
      <c r="AK122" s="84">
        <f t="shared" si="30"/>
        <v>4628.190972</v>
      </c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ht="16.5" customHeight="1">
      <c r="A125" s="64" t="s">
        <v>49</v>
      </c>
      <c r="B125" s="65" t="s">
        <v>50</v>
      </c>
      <c r="C125" s="65" t="s">
        <v>51</v>
      </c>
      <c r="D125" s="65" t="s">
        <v>52</v>
      </c>
      <c r="E125" s="65" t="s">
        <v>53</v>
      </c>
      <c r="F125" s="65" t="s">
        <v>54</v>
      </c>
      <c r="G125" s="65" t="s">
        <v>55</v>
      </c>
      <c r="H125" s="65" t="s">
        <v>56</v>
      </c>
      <c r="I125" s="65" t="s">
        <v>57</v>
      </c>
      <c r="J125" s="65" t="s">
        <v>58</v>
      </c>
      <c r="K125" s="65" t="s">
        <v>59</v>
      </c>
      <c r="L125" s="65" t="s">
        <v>60</v>
      </c>
      <c r="M125" s="65" t="s">
        <v>61</v>
      </c>
      <c r="N125" s="65" t="s">
        <v>62</v>
      </c>
      <c r="O125" s="65" t="s">
        <v>63</v>
      </c>
      <c r="P125" s="65" t="s">
        <v>64</v>
      </c>
      <c r="Q125" s="65" t="s">
        <v>65</v>
      </c>
      <c r="R125" s="65" t="s">
        <v>66</v>
      </c>
      <c r="S125" s="65" t="s">
        <v>67</v>
      </c>
      <c r="T125" s="65" t="s">
        <v>68</v>
      </c>
      <c r="U125" s="65" t="s">
        <v>69</v>
      </c>
      <c r="V125" s="65" t="s">
        <v>70</v>
      </c>
      <c r="W125" s="65" t="s">
        <v>71</v>
      </c>
      <c r="X125" s="65" t="s">
        <v>72</v>
      </c>
      <c r="Y125" s="65" t="s">
        <v>73</v>
      </c>
      <c r="Z125" s="65" t="s">
        <v>74</v>
      </c>
      <c r="AA125" s="65" t="s">
        <v>75</v>
      </c>
      <c r="AB125" s="65" t="s">
        <v>76</v>
      </c>
      <c r="AC125" s="65" t="s">
        <v>77</v>
      </c>
      <c r="AD125" s="65" t="s">
        <v>78</v>
      </c>
      <c r="AE125" s="65" t="s">
        <v>79</v>
      </c>
      <c r="AF125" s="65" t="s">
        <v>80</v>
      </c>
      <c r="AG125" s="65" t="s">
        <v>81</v>
      </c>
      <c r="AH125" s="65" t="s">
        <v>82</v>
      </c>
      <c r="AI125" s="65" t="s">
        <v>83</v>
      </c>
      <c r="AJ125" s="65" t="s">
        <v>84</v>
      </c>
      <c r="AK125" s="65" t="s">
        <v>85</v>
      </c>
    </row>
    <row r="126" ht="15.0" customHeight="1">
      <c r="A126" s="66" t="s">
        <v>86</v>
      </c>
      <c r="B126" s="29">
        <f t="shared" ref="B126:AK126" si="31">B$111*$B67+B$112*$C67+B$113*$D67+B$114*$E67+B$115*$F67+B$116*$G67+B$117*$H67+B$118*$I67+B$119*$J67+B$120*$K67</f>
        <v>7083.333333</v>
      </c>
      <c r="C126" s="29">
        <f t="shared" si="31"/>
        <v>30458.33333</v>
      </c>
      <c r="D126" s="29">
        <f t="shared" si="31"/>
        <v>77208.33333</v>
      </c>
      <c r="E126" s="29">
        <f t="shared" si="31"/>
        <v>148041.6667</v>
      </c>
      <c r="F126" s="29">
        <f t="shared" si="31"/>
        <v>218875</v>
      </c>
      <c r="G126" s="29">
        <f t="shared" si="31"/>
        <v>289708.3333</v>
      </c>
      <c r="H126" s="29">
        <f t="shared" si="31"/>
        <v>360541.6667</v>
      </c>
      <c r="I126" s="29">
        <f t="shared" si="31"/>
        <v>431375</v>
      </c>
      <c r="J126" s="29">
        <f t="shared" si="31"/>
        <v>502208.3333</v>
      </c>
      <c r="K126" s="29">
        <f t="shared" si="31"/>
        <v>573041.6667</v>
      </c>
      <c r="L126" s="29">
        <f t="shared" si="31"/>
        <v>643875</v>
      </c>
      <c r="M126" s="29">
        <f t="shared" si="31"/>
        <v>714708.3333</v>
      </c>
      <c r="N126" s="29">
        <f t="shared" si="31"/>
        <v>785541.6667</v>
      </c>
      <c r="O126" s="29">
        <f t="shared" si="31"/>
        <v>856375</v>
      </c>
      <c r="P126" s="29">
        <f t="shared" si="31"/>
        <v>927208.3333</v>
      </c>
      <c r="Q126" s="29">
        <f t="shared" si="31"/>
        <v>998041.6667</v>
      </c>
      <c r="R126" s="29">
        <f t="shared" si="31"/>
        <v>1068875</v>
      </c>
      <c r="S126" s="29">
        <f t="shared" si="31"/>
        <v>1139708.333</v>
      </c>
      <c r="T126" s="29">
        <f t="shared" si="31"/>
        <v>1210541.667</v>
      </c>
      <c r="U126" s="29">
        <f t="shared" si="31"/>
        <v>1281375</v>
      </c>
      <c r="V126" s="29">
        <f t="shared" si="31"/>
        <v>1352208.333</v>
      </c>
      <c r="W126" s="29">
        <f t="shared" si="31"/>
        <v>1423041.667</v>
      </c>
      <c r="X126" s="29">
        <f t="shared" si="31"/>
        <v>1493875</v>
      </c>
      <c r="Y126" s="29">
        <f t="shared" si="31"/>
        <v>1564708.333</v>
      </c>
      <c r="Z126" s="29">
        <f t="shared" si="31"/>
        <v>1635541.667</v>
      </c>
      <c r="AA126" s="29">
        <f t="shared" si="31"/>
        <v>1706375</v>
      </c>
      <c r="AB126" s="29">
        <f t="shared" si="31"/>
        <v>1777208.333</v>
      </c>
      <c r="AC126" s="29">
        <f t="shared" si="31"/>
        <v>1848041.667</v>
      </c>
      <c r="AD126" s="29">
        <f t="shared" si="31"/>
        <v>1918875</v>
      </c>
      <c r="AE126" s="29">
        <f t="shared" si="31"/>
        <v>1989708.333</v>
      </c>
      <c r="AF126" s="29">
        <f t="shared" si="31"/>
        <v>2060541.667</v>
      </c>
      <c r="AG126" s="29">
        <f t="shared" si="31"/>
        <v>2131375</v>
      </c>
      <c r="AH126" s="29">
        <f t="shared" si="31"/>
        <v>2202208.333</v>
      </c>
      <c r="AI126" s="29">
        <f t="shared" si="31"/>
        <v>2273041.667</v>
      </c>
      <c r="AJ126" s="29">
        <f t="shared" si="31"/>
        <v>2343875</v>
      </c>
      <c r="AK126" s="29">
        <f t="shared" si="31"/>
        <v>2414708.333</v>
      </c>
    </row>
    <row r="127" ht="13.5" customHeight="1">
      <c r="A127" s="70" t="s">
        <v>90</v>
      </c>
      <c r="B127" s="71">
        <f>B126/12</f>
        <v>590.2777778</v>
      </c>
      <c r="C127" s="71">
        <f t="shared" ref="C127:AK127" si="32">C126/12+B127*(1-$B$47)</f>
        <v>3121.09375</v>
      </c>
      <c r="D127" s="71">
        <f t="shared" si="32"/>
        <v>9516.107856</v>
      </c>
      <c r="E127" s="71">
        <f t="shared" si="32"/>
        <v>21733.96206</v>
      </c>
      <c r="F127" s="71">
        <f t="shared" si="32"/>
        <v>39701.87087</v>
      </c>
      <c r="G127" s="71">
        <f t="shared" si="32"/>
        <v>63347.9586</v>
      </c>
      <c r="H127" s="71">
        <f t="shared" si="32"/>
        <v>92601.248</v>
      </c>
      <c r="I127" s="71">
        <f t="shared" si="32"/>
        <v>127391.6491</v>
      </c>
      <c r="J127" s="71">
        <f t="shared" si="32"/>
        <v>167649.9479</v>
      </c>
      <c r="K127" s="71">
        <f t="shared" si="32"/>
        <v>213307.7958</v>
      </c>
      <c r="L127" s="71">
        <f t="shared" si="32"/>
        <v>264297.6983</v>
      </c>
      <c r="M127" s="71">
        <f t="shared" si="32"/>
        <v>320553.0049</v>
      </c>
      <c r="N127" s="71">
        <f t="shared" si="32"/>
        <v>382007.8979</v>
      </c>
      <c r="O127" s="71">
        <f t="shared" si="32"/>
        <v>448597.3825</v>
      </c>
      <c r="P127" s="71">
        <f t="shared" si="32"/>
        <v>520257.2763</v>
      </c>
      <c r="Q127" s="71">
        <f t="shared" si="32"/>
        <v>596924.1992</v>
      </c>
      <c r="R127" s="71">
        <f t="shared" si="32"/>
        <v>678535.5634</v>
      </c>
      <c r="S127" s="71">
        <f t="shared" si="32"/>
        <v>765029.5633</v>
      </c>
      <c r="T127" s="71">
        <f t="shared" si="32"/>
        <v>856345.166</v>
      </c>
      <c r="U127" s="71">
        <f t="shared" si="32"/>
        <v>952422.1014</v>
      </c>
      <c r="V127" s="71">
        <f t="shared" si="32"/>
        <v>1053200.853</v>
      </c>
      <c r="W127" s="71">
        <f t="shared" si="32"/>
        <v>1158622.648</v>
      </c>
      <c r="X127" s="71">
        <f t="shared" si="32"/>
        <v>1268629.448</v>
      </c>
      <c r="Y127" s="71">
        <f t="shared" si="32"/>
        <v>1383163.941</v>
      </c>
      <c r="Z127" s="71">
        <f t="shared" si="32"/>
        <v>1502169.531</v>
      </c>
      <c r="AA127" s="71">
        <f t="shared" si="32"/>
        <v>1625590.328</v>
      </c>
      <c r="AB127" s="71">
        <f t="shared" si="32"/>
        <v>1753371.144</v>
      </c>
      <c r="AC127" s="71">
        <f t="shared" si="32"/>
        <v>1885457.477</v>
      </c>
      <c r="AD127" s="71">
        <f t="shared" si="32"/>
        <v>2021795.508</v>
      </c>
      <c r="AE127" s="71">
        <f t="shared" si="32"/>
        <v>2162332.092</v>
      </c>
      <c r="AF127" s="71">
        <f t="shared" si="32"/>
        <v>2307014.746</v>
      </c>
      <c r="AG127" s="71">
        <f t="shared" si="32"/>
        <v>2455791.645</v>
      </c>
      <c r="AH127" s="71">
        <f t="shared" si="32"/>
        <v>2608611.611</v>
      </c>
      <c r="AI127" s="71">
        <f t="shared" si="32"/>
        <v>2765424.105</v>
      </c>
      <c r="AJ127" s="71">
        <f t="shared" si="32"/>
        <v>2926179.22</v>
      </c>
      <c r="AK127" s="71">
        <f t="shared" si="32"/>
        <v>3090827.674</v>
      </c>
    </row>
    <row r="128" ht="15.0" customHeight="1">
      <c r="A128" s="72" t="s">
        <v>91</v>
      </c>
      <c r="B128" s="73">
        <f>B127</f>
        <v>590.2777778</v>
      </c>
      <c r="C128" s="73">
        <f t="shared" ref="C128:AK128" si="33">B128+C127</f>
        <v>3711.371528</v>
      </c>
      <c r="D128" s="73">
        <f t="shared" si="33"/>
        <v>13227.47938</v>
      </c>
      <c r="E128" s="73">
        <f t="shared" si="33"/>
        <v>34961.44145</v>
      </c>
      <c r="F128" s="73">
        <f t="shared" si="33"/>
        <v>74663.31232</v>
      </c>
      <c r="G128" s="73">
        <f t="shared" si="33"/>
        <v>138011.2709</v>
      </c>
      <c r="H128" s="73">
        <f t="shared" si="33"/>
        <v>230612.5189</v>
      </c>
      <c r="I128" s="73">
        <f t="shared" si="33"/>
        <v>358004.168</v>
      </c>
      <c r="J128" s="73">
        <f t="shared" si="33"/>
        <v>525654.1159</v>
      </c>
      <c r="K128" s="73">
        <f t="shared" si="33"/>
        <v>738961.9117</v>
      </c>
      <c r="L128" s="73">
        <f t="shared" si="33"/>
        <v>1003259.61</v>
      </c>
      <c r="M128" s="73">
        <f t="shared" si="33"/>
        <v>1323812.615</v>
      </c>
      <c r="N128" s="73">
        <f t="shared" si="33"/>
        <v>1705820.513</v>
      </c>
      <c r="O128" s="73">
        <f t="shared" si="33"/>
        <v>2154417.895</v>
      </c>
      <c r="P128" s="73">
        <f t="shared" si="33"/>
        <v>2674675.172</v>
      </c>
      <c r="Q128" s="73">
        <f t="shared" si="33"/>
        <v>3271599.371</v>
      </c>
      <c r="R128" s="73">
        <f t="shared" si="33"/>
        <v>3950134.934</v>
      </c>
      <c r="S128" s="73">
        <f t="shared" si="33"/>
        <v>4715164.498</v>
      </c>
      <c r="T128" s="73">
        <f t="shared" si="33"/>
        <v>5571509.664</v>
      </c>
      <c r="U128" s="73">
        <f t="shared" si="33"/>
        <v>6523931.765</v>
      </c>
      <c r="V128" s="73">
        <f t="shared" si="33"/>
        <v>7577132.618</v>
      </c>
      <c r="W128" s="73">
        <f t="shared" si="33"/>
        <v>8735755.266</v>
      </c>
      <c r="X128" s="73">
        <f t="shared" si="33"/>
        <v>10004384.71</v>
      </c>
      <c r="Y128" s="73">
        <f t="shared" si="33"/>
        <v>11387548.65</v>
      </c>
      <c r="Z128" s="73">
        <f t="shared" si="33"/>
        <v>12889718.19</v>
      </c>
      <c r="AA128" s="73">
        <f t="shared" si="33"/>
        <v>14515308.51</v>
      </c>
      <c r="AB128" s="73">
        <f t="shared" si="33"/>
        <v>16268679.66</v>
      </c>
      <c r="AC128" s="73">
        <f t="shared" si="33"/>
        <v>18154137.13</v>
      </c>
      <c r="AD128" s="73">
        <f t="shared" si="33"/>
        <v>20175932.64</v>
      </c>
      <c r="AE128" s="73">
        <f t="shared" si="33"/>
        <v>22338264.73</v>
      </c>
      <c r="AF128" s="73">
        <f t="shared" si="33"/>
        <v>24645279.48</v>
      </c>
      <c r="AG128" s="73">
        <f t="shared" si="33"/>
        <v>27101071.13</v>
      </c>
      <c r="AH128" s="73">
        <f t="shared" si="33"/>
        <v>29709682.74</v>
      </c>
      <c r="AI128" s="73">
        <f t="shared" si="33"/>
        <v>32475106.84</v>
      </c>
      <c r="AJ128" s="73">
        <f t="shared" si="33"/>
        <v>35401286.06</v>
      </c>
      <c r="AK128" s="73">
        <f t="shared" si="33"/>
        <v>38492113.74</v>
      </c>
    </row>
    <row r="129" ht="15.0" customHeight="1">
      <c r="A129" s="74" t="s">
        <v>92</v>
      </c>
      <c r="B129" s="75">
        <f t="shared" ref="B129:AK129" si="34">$B$48*B128</f>
        <v>472.2222222</v>
      </c>
      <c r="C129" s="75">
        <f t="shared" si="34"/>
        <v>2969.097222</v>
      </c>
      <c r="D129" s="75">
        <f t="shared" si="34"/>
        <v>10581.98351</v>
      </c>
      <c r="E129" s="75">
        <f t="shared" si="34"/>
        <v>27969.15316</v>
      </c>
      <c r="F129" s="75">
        <f t="shared" si="34"/>
        <v>59730.64985</v>
      </c>
      <c r="G129" s="75">
        <f t="shared" si="34"/>
        <v>110409.0167</v>
      </c>
      <c r="H129" s="75">
        <f t="shared" si="34"/>
        <v>184490.0151</v>
      </c>
      <c r="I129" s="75">
        <f t="shared" si="34"/>
        <v>286403.3344</v>
      </c>
      <c r="J129" s="75">
        <f t="shared" si="34"/>
        <v>420523.2927</v>
      </c>
      <c r="K129" s="75">
        <f t="shared" si="34"/>
        <v>591169.5293</v>
      </c>
      <c r="L129" s="75">
        <f t="shared" si="34"/>
        <v>802607.688</v>
      </c>
      <c r="M129" s="75">
        <f t="shared" si="34"/>
        <v>1059050.092</v>
      </c>
      <c r="N129" s="75">
        <f t="shared" si="34"/>
        <v>1364656.41</v>
      </c>
      <c r="O129" s="75">
        <f t="shared" si="34"/>
        <v>1723534.316</v>
      </c>
      <c r="P129" s="75">
        <f t="shared" si="34"/>
        <v>2139740.137</v>
      </c>
      <c r="Q129" s="75">
        <f t="shared" si="34"/>
        <v>2617279.497</v>
      </c>
      <c r="R129" s="75">
        <f t="shared" si="34"/>
        <v>3160107.947</v>
      </c>
      <c r="S129" s="75">
        <f t="shared" si="34"/>
        <v>3772131.598</v>
      </c>
      <c r="T129" s="75">
        <f t="shared" si="34"/>
        <v>4457207.731</v>
      </c>
      <c r="U129" s="75">
        <f t="shared" si="34"/>
        <v>5219145.412</v>
      </c>
      <c r="V129" s="75">
        <f t="shared" si="34"/>
        <v>6061706.094</v>
      </c>
      <c r="W129" s="75">
        <f t="shared" si="34"/>
        <v>6988604.213</v>
      </c>
      <c r="X129" s="75">
        <f t="shared" si="34"/>
        <v>8003507.771</v>
      </c>
      <c r="Y129" s="75">
        <f t="shared" si="34"/>
        <v>9110038.924</v>
      </c>
      <c r="Z129" s="75">
        <f t="shared" si="34"/>
        <v>10311774.55</v>
      </c>
      <c r="AA129" s="75">
        <f t="shared" si="34"/>
        <v>11612246.81</v>
      </c>
      <c r="AB129" s="75">
        <f t="shared" si="34"/>
        <v>13014943.73</v>
      </c>
      <c r="AC129" s="75">
        <f t="shared" si="34"/>
        <v>14523309.71</v>
      </c>
      <c r="AD129" s="75">
        <f t="shared" si="34"/>
        <v>16140746.11</v>
      </c>
      <c r="AE129" s="75">
        <f t="shared" si="34"/>
        <v>17870611.79</v>
      </c>
      <c r="AF129" s="75">
        <f t="shared" si="34"/>
        <v>19716223.58</v>
      </c>
      <c r="AG129" s="75">
        <f t="shared" si="34"/>
        <v>21680856.9</v>
      </c>
      <c r="AH129" s="75">
        <f t="shared" si="34"/>
        <v>23767746.19</v>
      </c>
      <c r="AI129" s="75">
        <f t="shared" si="34"/>
        <v>25980085.47</v>
      </c>
      <c r="AJ129" s="75">
        <f t="shared" si="34"/>
        <v>28321028.85</v>
      </c>
      <c r="AK129" s="75">
        <f t="shared" si="34"/>
        <v>30793690.99</v>
      </c>
    </row>
    <row r="130" ht="13.5" customHeight="1">
      <c r="A130" s="27" t="s">
        <v>116</v>
      </c>
      <c r="B130" s="29">
        <f>B127</f>
        <v>590.2777778</v>
      </c>
      <c r="C130" s="29">
        <f t="shared" ref="C130:AK130" si="35">C127-B127</f>
        <v>2530.815972</v>
      </c>
      <c r="D130" s="29">
        <f t="shared" si="35"/>
        <v>6395.014106</v>
      </c>
      <c r="E130" s="29">
        <f t="shared" si="35"/>
        <v>12217.85421</v>
      </c>
      <c r="F130" s="29">
        <f t="shared" si="35"/>
        <v>17967.90881</v>
      </c>
      <c r="G130" s="29">
        <f t="shared" si="35"/>
        <v>23646.08773</v>
      </c>
      <c r="H130" s="29">
        <f t="shared" si="35"/>
        <v>29253.28941</v>
      </c>
      <c r="I130" s="29">
        <f t="shared" si="35"/>
        <v>34790.40107</v>
      </c>
      <c r="J130" s="29">
        <f t="shared" si="35"/>
        <v>40258.29883</v>
      </c>
      <c r="K130" s="29">
        <f t="shared" si="35"/>
        <v>45657.84787</v>
      </c>
      <c r="L130" s="29">
        <f t="shared" si="35"/>
        <v>50989.90255</v>
      </c>
      <c r="M130" s="29">
        <f t="shared" si="35"/>
        <v>56255.30655</v>
      </c>
      <c r="N130" s="29">
        <f t="shared" si="35"/>
        <v>61454.89299</v>
      </c>
      <c r="O130" s="29">
        <f t="shared" si="35"/>
        <v>66589.48461</v>
      </c>
      <c r="P130" s="29">
        <f t="shared" si="35"/>
        <v>71659.89383</v>
      </c>
      <c r="Q130" s="29">
        <f t="shared" si="35"/>
        <v>76666.92294</v>
      </c>
      <c r="R130" s="29">
        <f t="shared" si="35"/>
        <v>81611.36418</v>
      </c>
      <c r="S130" s="29">
        <f t="shared" si="35"/>
        <v>86493.9999</v>
      </c>
      <c r="T130" s="29">
        <f t="shared" si="35"/>
        <v>91315.60268</v>
      </c>
      <c r="U130" s="29">
        <f t="shared" si="35"/>
        <v>96076.93542</v>
      </c>
      <c r="V130" s="29">
        <f t="shared" si="35"/>
        <v>100778.7515</v>
      </c>
      <c r="W130" s="29">
        <f t="shared" si="35"/>
        <v>105421.7949</v>
      </c>
      <c r="X130" s="29">
        <f t="shared" si="35"/>
        <v>110006.8002</v>
      </c>
      <c r="Y130" s="29">
        <f t="shared" si="35"/>
        <v>114534.493</v>
      </c>
      <c r="Z130" s="29">
        <f t="shared" si="35"/>
        <v>119005.5896</v>
      </c>
      <c r="AA130" s="29">
        <f t="shared" si="35"/>
        <v>123420.7975</v>
      </c>
      <c r="AB130" s="29">
        <f t="shared" si="35"/>
        <v>127780.8153</v>
      </c>
      <c r="AC130" s="29">
        <f t="shared" si="35"/>
        <v>132086.3329</v>
      </c>
      <c r="AD130" s="29">
        <f t="shared" si="35"/>
        <v>136338.0315</v>
      </c>
      <c r="AE130" s="29">
        <f t="shared" si="35"/>
        <v>140536.5839</v>
      </c>
      <c r="AF130" s="29">
        <f t="shared" si="35"/>
        <v>144682.6544</v>
      </c>
      <c r="AG130" s="29">
        <f t="shared" si="35"/>
        <v>148776.899</v>
      </c>
      <c r="AH130" s="29">
        <f t="shared" si="35"/>
        <v>152819.9655</v>
      </c>
      <c r="AI130" s="29">
        <f t="shared" si="35"/>
        <v>156812.4938</v>
      </c>
      <c r="AJ130" s="29">
        <f t="shared" si="35"/>
        <v>160755.1154</v>
      </c>
      <c r="AK130" s="29">
        <f t="shared" si="35"/>
        <v>164648.4542</v>
      </c>
    </row>
    <row r="131" ht="13.5" customHeight="1">
      <c r="A131" s="3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</row>
    <row r="132" ht="16.5" customHeight="1">
      <c r="A132" s="64" t="s">
        <v>93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ht="15.0" customHeight="1">
      <c r="A133" s="66" t="s">
        <v>94</v>
      </c>
      <c r="B133" s="29">
        <f t="shared" ref="B133:AK133" si="36">B$121*B77</f>
        <v>8333.333333</v>
      </c>
      <c r="C133" s="29">
        <f t="shared" si="36"/>
        <v>16666.66667</v>
      </c>
      <c r="D133" s="29">
        <f t="shared" si="36"/>
        <v>25000</v>
      </c>
      <c r="E133" s="29">
        <f t="shared" si="36"/>
        <v>33333.33333</v>
      </c>
      <c r="F133" s="29">
        <f t="shared" si="36"/>
        <v>41666.66667</v>
      </c>
      <c r="G133" s="29">
        <f t="shared" si="36"/>
        <v>50000</v>
      </c>
      <c r="H133" s="29">
        <f t="shared" si="36"/>
        <v>58333.33333</v>
      </c>
      <c r="I133" s="29">
        <f t="shared" si="36"/>
        <v>66666.66667</v>
      </c>
      <c r="J133" s="29">
        <f t="shared" si="36"/>
        <v>75000</v>
      </c>
      <c r="K133" s="29">
        <f t="shared" si="36"/>
        <v>83333.33333</v>
      </c>
      <c r="L133" s="29">
        <f t="shared" si="36"/>
        <v>91666.66667</v>
      </c>
      <c r="M133" s="29">
        <f t="shared" si="36"/>
        <v>100000</v>
      </c>
      <c r="N133" s="29">
        <f t="shared" si="36"/>
        <v>108333.3333</v>
      </c>
      <c r="O133" s="29">
        <f t="shared" si="36"/>
        <v>116666.6667</v>
      </c>
      <c r="P133" s="29">
        <f t="shared" si="36"/>
        <v>125000</v>
      </c>
      <c r="Q133" s="29">
        <f t="shared" si="36"/>
        <v>133333.3333</v>
      </c>
      <c r="R133" s="29">
        <f t="shared" si="36"/>
        <v>141666.6667</v>
      </c>
      <c r="S133" s="29">
        <f t="shared" si="36"/>
        <v>150000</v>
      </c>
      <c r="T133" s="29">
        <f t="shared" si="36"/>
        <v>158333.3333</v>
      </c>
      <c r="U133" s="29">
        <f t="shared" si="36"/>
        <v>166666.6667</v>
      </c>
      <c r="V133" s="29">
        <f t="shared" si="36"/>
        <v>175000</v>
      </c>
      <c r="W133" s="29">
        <f t="shared" si="36"/>
        <v>183333.3333</v>
      </c>
      <c r="X133" s="29">
        <f t="shared" si="36"/>
        <v>191666.6667</v>
      </c>
      <c r="Y133" s="29">
        <f t="shared" si="36"/>
        <v>200000</v>
      </c>
      <c r="Z133" s="29">
        <f t="shared" si="36"/>
        <v>208333.3333</v>
      </c>
      <c r="AA133" s="29">
        <f t="shared" si="36"/>
        <v>216666.6667</v>
      </c>
      <c r="AB133" s="29">
        <f t="shared" si="36"/>
        <v>225000</v>
      </c>
      <c r="AC133" s="29">
        <f t="shared" si="36"/>
        <v>233333.3333</v>
      </c>
      <c r="AD133" s="29">
        <f t="shared" si="36"/>
        <v>241666.6667</v>
      </c>
      <c r="AE133" s="29">
        <f t="shared" si="36"/>
        <v>250000</v>
      </c>
      <c r="AF133" s="29">
        <f t="shared" si="36"/>
        <v>258333.3333</v>
      </c>
      <c r="AG133" s="29">
        <f t="shared" si="36"/>
        <v>266666.6667</v>
      </c>
      <c r="AH133" s="29">
        <f t="shared" si="36"/>
        <v>275000</v>
      </c>
      <c r="AI133" s="29">
        <f t="shared" si="36"/>
        <v>283333.3333</v>
      </c>
      <c r="AJ133" s="29">
        <f t="shared" si="36"/>
        <v>291666.6667</v>
      </c>
      <c r="AK133" s="29">
        <f t="shared" si="36"/>
        <v>300000</v>
      </c>
    </row>
    <row r="134" ht="13.5" customHeight="1">
      <c r="A134" s="27" t="s">
        <v>6</v>
      </c>
      <c r="B134" s="29">
        <f t="shared" ref="B134:AK134" si="37">B$111*$B78+B$112*$C78+B$113*$D78+B$114*$E78+B$115*$F78+B$116*$G78+B$117*$H78+B$118*$I78+B$119*$J78+B$120*$K78</f>
        <v>9166.666667</v>
      </c>
      <c r="C134" s="29">
        <f t="shared" si="37"/>
        <v>15583.33333</v>
      </c>
      <c r="D134" s="29">
        <f t="shared" si="37"/>
        <v>21633.33333</v>
      </c>
      <c r="E134" s="29">
        <f t="shared" si="37"/>
        <v>30800</v>
      </c>
      <c r="F134" s="29">
        <f t="shared" si="37"/>
        <v>39966.66667</v>
      </c>
      <c r="G134" s="29">
        <f t="shared" si="37"/>
        <v>49133.33333</v>
      </c>
      <c r="H134" s="29">
        <f t="shared" si="37"/>
        <v>58300</v>
      </c>
      <c r="I134" s="29">
        <f t="shared" si="37"/>
        <v>67466.66667</v>
      </c>
      <c r="J134" s="29">
        <f t="shared" si="37"/>
        <v>76633.33333</v>
      </c>
      <c r="K134" s="29">
        <f t="shared" si="37"/>
        <v>85800</v>
      </c>
      <c r="L134" s="29">
        <f t="shared" si="37"/>
        <v>94966.66667</v>
      </c>
      <c r="M134" s="29">
        <f t="shared" si="37"/>
        <v>104133.3333</v>
      </c>
      <c r="N134" s="29">
        <f t="shared" si="37"/>
        <v>113300</v>
      </c>
      <c r="O134" s="29">
        <f t="shared" si="37"/>
        <v>122466.6667</v>
      </c>
      <c r="P134" s="29">
        <f t="shared" si="37"/>
        <v>131633.3333</v>
      </c>
      <c r="Q134" s="29">
        <f t="shared" si="37"/>
        <v>140800</v>
      </c>
      <c r="R134" s="29">
        <f t="shared" si="37"/>
        <v>149966.6667</v>
      </c>
      <c r="S134" s="29">
        <f t="shared" si="37"/>
        <v>159133.3333</v>
      </c>
      <c r="T134" s="29">
        <f t="shared" si="37"/>
        <v>168300</v>
      </c>
      <c r="U134" s="29">
        <f t="shared" si="37"/>
        <v>177466.6667</v>
      </c>
      <c r="V134" s="29">
        <f t="shared" si="37"/>
        <v>186633.3333</v>
      </c>
      <c r="W134" s="29">
        <f t="shared" si="37"/>
        <v>195800</v>
      </c>
      <c r="X134" s="29">
        <f t="shared" si="37"/>
        <v>204966.6667</v>
      </c>
      <c r="Y134" s="29">
        <f t="shared" si="37"/>
        <v>214133.3333</v>
      </c>
      <c r="Z134" s="29">
        <f t="shared" si="37"/>
        <v>223300</v>
      </c>
      <c r="AA134" s="29">
        <f t="shared" si="37"/>
        <v>232466.6667</v>
      </c>
      <c r="AB134" s="29">
        <f t="shared" si="37"/>
        <v>241633.3333</v>
      </c>
      <c r="AC134" s="29">
        <f t="shared" si="37"/>
        <v>250800</v>
      </c>
      <c r="AD134" s="29">
        <f t="shared" si="37"/>
        <v>259966.6667</v>
      </c>
      <c r="AE134" s="29">
        <f t="shared" si="37"/>
        <v>269133.3333</v>
      </c>
      <c r="AF134" s="29">
        <f t="shared" si="37"/>
        <v>278300</v>
      </c>
      <c r="AG134" s="29">
        <f t="shared" si="37"/>
        <v>287466.6667</v>
      </c>
      <c r="AH134" s="29">
        <f t="shared" si="37"/>
        <v>296633.3333</v>
      </c>
      <c r="AI134" s="29">
        <f t="shared" si="37"/>
        <v>305800</v>
      </c>
      <c r="AJ134" s="29">
        <f t="shared" si="37"/>
        <v>314966.6667</v>
      </c>
      <c r="AK134" s="29">
        <f t="shared" si="37"/>
        <v>324133.3333</v>
      </c>
    </row>
    <row r="135" ht="13.5" customHeight="1">
      <c r="A135" s="27" t="s">
        <v>95</v>
      </c>
      <c r="B135" s="29">
        <f t="shared" ref="B135:AK135" si="38">B$121*B79</f>
        <v>5000</v>
      </c>
      <c r="C135" s="29">
        <f t="shared" si="38"/>
        <v>10000</v>
      </c>
      <c r="D135" s="29">
        <f t="shared" si="38"/>
        <v>15000</v>
      </c>
      <c r="E135" s="29">
        <f t="shared" si="38"/>
        <v>20000</v>
      </c>
      <c r="F135" s="29">
        <f t="shared" si="38"/>
        <v>25000</v>
      </c>
      <c r="G135" s="29">
        <f t="shared" si="38"/>
        <v>30000</v>
      </c>
      <c r="H135" s="29">
        <f t="shared" si="38"/>
        <v>35000</v>
      </c>
      <c r="I135" s="29">
        <f t="shared" si="38"/>
        <v>40000</v>
      </c>
      <c r="J135" s="29">
        <f t="shared" si="38"/>
        <v>45000</v>
      </c>
      <c r="K135" s="29">
        <f t="shared" si="38"/>
        <v>50000</v>
      </c>
      <c r="L135" s="29">
        <f t="shared" si="38"/>
        <v>55000</v>
      </c>
      <c r="M135" s="29">
        <f t="shared" si="38"/>
        <v>60000</v>
      </c>
      <c r="N135" s="29">
        <f t="shared" si="38"/>
        <v>65000</v>
      </c>
      <c r="O135" s="29">
        <f t="shared" si="38"/>
        <v>70000</v>
      </c>
      <c r="P135" s="29">
        <f t="shared" si="38"/>
        <v>75000</v>
      </c>
      <c r="Q135" s="29">
        <f t="shared" si="38"/>
        <v>80000</v>
      </c>
      <c r="R135" s="29">
        <f t="shared" si="38"/>
        <v>85000</v>
      </c>
      <c r="S135" s="29">
        <f t="shared" si="38"/>
        <v>90000</v>
      </c>
      <c r="T135" s="29">
        <f t="shared" si="38"/>
        <v>95000</v>
      </c>
      <c r="U135" s="29">
        <f t="shared" si="38"/>
        <v>100000</v>
      </c>
      <c r="V135" s="29">
        <f t="shared" si="38"/>
        <v>105000</v>
      </c>
      <c r="W135" s="29">
        <f t="shared" si="38"/>
        <v>110000</v>
      </c>
      <c r="X135" s="29">
        <f t="shared" si="38"/>
        <v>115000</v>
      </c>
      <c r="Y135" s="29">
        <f t="shared" si="38"/>
        <v>120000</v>
      </c>
      <c r="Z135" s="29">
        <f t="shared" si="38"/>
        <v>125000</v>
      </c>
      <c r="AA135" s="29">
        <f t="shared" si="38"/>
        <v>130000</v>
      </c>
      <c r="AB135" s="29">
        <f t="shared" si="38"/>
        <v>135000</v>
      </c>
      <c r="AC135" s="29">
        <f t="shared" si="38"/>
        <v>140000</v>
      </c>
      <c r="AD135" s="29">
        <f t="shared" si="38"/>
        <v>145000</v>
      </c>
      <c r="AE135" s="29">
        <f t="shared" si="38"/>
        <v>150000</v>
      </c>
      <c r="AF135" s="29">
        <f t="shared" si="38"/>
        <v>155000</v>
      </c>
      <c r="AG135" s="29">
        <f t="shared" si="38"/>
        <v>160000</v>
      </c>
      <c r="AH135" s="29">
        <f t="shared" si="38"/>
        <v>165000</v>
      </c>
      <c r="AI135" s="29">
        <f t="shared" si="38"/>
        <v>170000</v>
      </c>
      <c r="AJ135" s="29">
        <f t="shared" si="38"/>
        <v>175000</v>
      </c>
      <c r="AK135" s="29">
        <f t="shared" si="38"/>
        <v>180000</v>
      </c>
    </row>
    <row r="136" ht="13.5" customHeight="1">
      <c r="A136" s="70" t="s">
        <v>96</v>
      </c>
      <c r="B136" s="71">
        <f t="shared" ref="B136:AK136" si="39">B122*$B$54</f>
        <v>1700.442708</v>
      </c>
      <c r="C136" s="71">
        <f t="shared" si="39"/>
        <v>7311.903646</v>
      </c>
      <c r="D136" s="71">
        <f t="shared" si="39"/>
        <v>18534.82552</v>
      </c>
      <c r="E136" s="71">
        <f t="shared" si="39"/>
        <v>35539.2526</v>
      </c>
      <c r="F136" s="71">
        <f t="shared" si="39"/>
        <v>52543.67969</v>
      </c>
      <c r="G136" s="71">
        <f t="shared" si="39"/>
        <v>69548.10677</v>
      </c>
      <c r="H136" s="71">
        <f t="shared" si="39"/>
        <v>86552.53385</v>
      </c>
      <c r="I136" s="71">
        <f t="shared" si="39"/>
        <v>103556.9609</v>
      </c>
      <c r="J136" s="71">
        <f t="shared" si="39"/>
        <v>120561.388</v>
      </c>
      <c r="K136" s="71">
        <f t="shared" si="39"/>
        <v>137565.8151</v>
      </c>
      <c r="L136" s="71">
        <f t="shared" si="39"/>
        <v>154570.2422</v>
      </c>
      <c r="M136" s="71">
        <f t="shared" si="39"/>
        <v>171574.6693</v>
      </c>
      <c r="N136" s="71">
        <f t="shared" si="39"/>
        <v>188579.0964</v>
      </c>
      <c r="O136" s="71">
        <f t="shared" si="39"/>
        <v>205583.5234</v>
      </c>
      <c r="P136" s="71">
        <f t="shared" si="39"/>
        <v>222587.9505</v>
      </c>
      <c r="Q136" s="71">
        <f t="shared" si="39"/>
        <v>239592.3776</v>
      </c>
      <c r="R136" s="71">
        <f t="shared" si="39"/>
        <v>256596.8047</v>
      </c>
      <c r="S136" s="71">
        <f t="shared" si="39"/>
        <v>273601.2318</v>
      </c>
      <c r="T136" s="71">
        <f t="shared" si="39"/>
        <v>290605.6589</v>
      </c>
      <c r="U136" s="71">
        <f t="shared" si="39"/>
        <v>307610.0859</v>
      </c>
      <c r="V136" s="71">
        <f t="shared" si="39"/>
        <v>324614.513</v>
      </c>
      <c r="W136" s="71">
        <f t="shared" si="39"/>
        <v>341618.9401</v>
      </c>
      <c r="X136" s="71">
        <f t="shared" si="39"/>
        <v>358623.3672</v>
      </c>
      <c r="Y136" s="71">
        <f t="shared" si="39"/>
        <v>375627.7943</v>
      </c>
      <c r="Z136" s="71">
        <f t="shared" si="39"/>
        <v>392632.2214</v>
      </c>
      <c r="AA136" s="71">
        <f t="shared" si="39"/>
        <v>409636.6484</v>
      </c>
      <c r="AB136" s="71">
        <f t="shared" si="39"/>
        <v>426641.0755</v>
      </c>
      <c r="AC136" s="71">
        <f t="shared" si="39"/>
        <v>443645.5026</v>
      </c>
      <c r="AD136" s="71">
        <f t="shared" si="39"/>
        <v>460649.9297</v>
      </c>
      <c r="AE136" s="71">
        <f t="shared" si="39"/>
        <v>477654.3568</v>
      </c>
      <c r="AF136" s="71">
        <f t="shared" si="39"/>
        <v>494658.7839</v>
      </c>
      <c r="AG136" s="71">
        <f t="shared" si="39"/>
        <v>511663.2109</v>
      </c>
      <c r="AH136" s="71">
        <f t="shared" si="39"/>
        <v>528667.638</v>
      </c>
      <c r="AI136" s="71">
        <f t="shared" si="39"/>
        <v>545672.0651</v>
      </c>
      <c r="AJ136" s="71">
        <f t="shared" si="39"/>
        <v>562676.4922</v>
      </c>
      <c r="AK136" s="71">
        <f t="shared" si="39"/>
        <v>579680.9193</v>
      </c>
    </row>
    <row r="137" ht="15.0" customHeight="1">
      <c r="A137" s="72" t="s">
        <v>97</v>
      </c>
      <c r="B137" s="73">
        <f t="shared" ref="B137:AK137" si="40">SUM(B133:B136)</f>
        <v>24200.44271</v>
      </c>
      <c r="C137" s="73">
        <f t="shared" si="40"/>
        <v>49561.90365</v>
      </c>
      <c r="D137" s="73">
        <f t="shared" si="40"/>
        <v>80168.15885</v>
      </c>
      <c r="E137" s="73">
        <f t="shared" si="40"/>
        <v>119672.5859</v>
      </c>
      <c r="F137" s="73">
        <f t="shared" si="40"/>
        <v>159177.013</v>
      </c>
      <c r="G137" s="73">
        <f t="shared" si="40"/>
        <v>198681.4401</v>
      </c>
      <c r="H137" s="73">
        <f t="shared" si="40"/>
        <v>238185.8672</v>
      </c>
      <c r="I137" s="73">
        <f t="shared" si="40"/>
        <v>277690.2943</v>
      </c>
      <c r="J137" s="73">
        <f t="shared" si="40"/>
        <v>317194.7214</v>
      </c>
      <c r="K137" s="73">
        <f t="shared" si="40"/>
        <v>356699.1484</v>
      </c>
      <c r="L137" s="73">
        <f t="shared" si="40"/>
        <v>396203.5755</v>
      </c>
      <c r="M137" s="73">
        <f t="shared" si="40"/>
        <v>435708.0026</v>
      </c>
      <c r="N137" s="73">
        <f t="shared" si="40"/>
        <v>475212.4297</v>
      </c>
      <c r="O137" s="73">
        <f t="shared" si="40"/>
        <v>514716.8568</v>
      </c>
      <c r="P137" s="73">
        <f t="shared" si="40"/>
        <v>554221.2839</v>
      </c>
      <c r="Q137" s="73">
        <f t="shared" si="40"/>
        <v>593725.7109</v>
      </c>
      <c r="R137" s="73">
        <f t="shared" si="40"/>
        <v>633230.138</v>
      </c>
      <c r="S137" s="73">
        <f t="shared" si="40"/>
        <v>672734.5651</v>
      </c>
      <c r="T137" s="73">
        <f t="shared" si="40"/>
        <v>712238.9922</v>
      </c>
      <c r="U137" s="73">
        <f t="shared" si="40"/>
        <v>751743.4193</v>
      </c>
      <c r="V137" s="73">
        <f t="shared" si="40"/>
        <v>791247.8464</v>
      </c>
      <c r="W137" s="73">
        <f t="shared" si="40"/>
        <v>830752.2734</v>
      </c>
      <c r="X137" s="73">
        <f t="shared" si="40"/>
        <v>870256.7005</v>
      </c>
      <c r="Y137" s="73">
        <f t="shared" si="40"/>
        <v>909761.1276</v>
      </c>
      <c r="Z137" s="73">
        <f t="shared" si="40"/>
        <v>949265.5547</v>
      </c>
      <c r="AA137" s="73">
        <f t="shared" si="40"/>
        <v>988769.9818</v>
      </c>
      <c r="AB137" s="73">
        <f t="shared" si="40"/>
        <v>1028274.409</v>
      </c>
      <c r="AC137" s="73">
        <f t="shared" si="40"/>
        <v>1067778.836</v>
      </c>
      <c r="AD137" s="73">
        <f t="shared" si="40"/>
        <v>1107283.263</v>
      </c>
      <c r="AE137" s="73">
        <f t="shared" si="40"/>
        <v>1146787.69</v>
      </c>
      <c r="AF137" s="73">
        <f t="shared" si="40"/>
        <v>1186292.117</v>
      </c>
      <c r="AG137" s="73">
        <f t="shared" si="40"/>
        <v>1225796.544</v>
      </c>
      <c r="AH137" s="73">
        <f t="shared" si="40"/>
        <v>1265300.971</v>
      </c>
      <c r="AI137" s="73">
        <f t="shared" si="40"/>
        <v>1304805.398</v>
      </c>
      <c r="AJ137" s="73">
        <f t="shared" si="40"/>
        <v>1344309.826</v>
      </c>
      <c r="AK137" s="73">
        <f t="shared" si="40"/>
        <v>1383814.253</v>
      </c>
    </row>
    <row r="138" ht="15.0" customHeight="1">
      <c r="A138" s="74" t="s">
        <v>98</v>
      </c>
      <c r="B138" s="75">
        <f>B137</f>
        <v>24200.44271</v>
      </c>
      <c r="C138" s="75">
        <f t="shared" ref="C138:AK138" si="41">C137+B138</f>
        <v>73762.34635</v>
      </c>
      <c r="D138" s="75">
        <f t="shared" si="41"/>
        <v>153930.5052</v>
      </c>
      <c r="E138" s="75">
        <f t="shared" si="41"/>
        <v>273603.0911</v>
      </c>
      <c r="F138" s="75">
        <f t="shared" si="41"/>
        <v>432780.1042</v>
      </c>
      <c r="G138" s="75">
        <f t="shared" si="41"/>
        <v>631461.5443</v>
      </c>
      <c r="H138" s="75">
        <f t="shared" si="41"/>
        <v>869647.4115</v>
      </c>
      <c r="I138" s="75">
        <f t="shared" si="41"/>
        <v>1147337.706</v>
      </c>
      <c r="J138" s="75">
        <f t="shared" si="41"/>
        <v>1464532.427</v>
      </c>
      <c r="K138" s="75">
        <f t="shared" si="41"/>
        <v>1821231.576</v>
      </c>
      <c r="L138" s="75">
        <f t="shared" si="41"/>
        <v>2217435.151</v>
      </c>
      <c r="M138" s="75">
        <f t="shared" si="41"/>
        <v>2653143.154</v>
      </c>
      <c r="N138" s="75">
        <f t="shared" si="41"/>
        <v>3128355.583</v>
      </c>
      <c r="O138" s="75">
        <f t="shared" si="41"/>
        <v>3643072.44</v>
      </c>
      <c r="P138" s="75">
        <f t="shared" si="41"/>
        <v>4197293.724</v>
      </c>
      <c r="Q138" s="75">
        <f t="shared" si="41"/>
        <v>4791019.435</v>
      </c>
      <c r="R138" s="75">
        <f t="shared" si="41"/>
        <v>5424249.573</v>
      </c>
      <c r="S138" s="75">
        <f t="shared" si="41"/>
        <v>6096984.138</v>
      </c>
      <c r="T138" s="75">
        <f t="shared" si="41"/>
        <v>6809223.13</v>
      </c>
      <c r="U138" s="75">
        <f t="shared" si="41"/>
        <v>7560966.549</v>
      </c>
      <c r="V138" s="75">
        <f t="shared" si="41"/>
        <v>8352214.396</v>
      </c>
      <c r="W138" s="75">
        <f t="shared" si="41"/>
        <v>9182966.669</v>
      </c>
      <c r="X138" s="75">
        <f t="shared" si="41"/>
        <v>10053223.37</v>
      </c>
      <c r="Y138" s="75">
        <f t="shared" si="41"/>
        <v>10962984.5</v>
      </c>
      <c r="Z138" s="75">
        <f t="shared" si="41"/>
        <v>11912250.05</v>
      </c>
      <c r="AA138" s="75">
        <f t="shared" si="41"/>
        <v>12901020.03</v>
      </c>
      <c r="AB138" s="75">
        <f t="shared" si="41"/>
        <v>13929294.44</v>
      </c>
      <c r="AC138" s="75">
        <f t="shared" si="41"/>
        <v>14997073.28</v>
      </c>
      <c r="AD138" s="75">
        <f t="shared" si="41"/>
        <v>16104356.54</v>
      </c>
      <c r="AE138" s="75">
        <f t="shared" si="41"/>
        <v>17251144.23</v>
      </c>
      <c r="AF138" s="75">
        <f t="shared" si="41"/>
        <v>18437436.35</v>
      </c>
      <c r="AG138" s="75">
        <f t="shared" si="41"/>
        <v>19663232.89</v>
      </c>
      <c r="AH138" s="75">
        <f t="shared" si="41"/>
        <v>20928533.86</v>
      </c>
      <c r="AI138" s="75">
        <f t="shared" si="41"/>
        <v>22233339.26</v>
      </c>
      <c r="AJ138" s="75">
        <f t="shared" si="41"/>
        <v>23577649.09</v>
      </c>
      <c r="AK138" s="75">
        <f t="shared" si="41"/>
        <v>24961463.34</v>
      </c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ht="16.5" customHeight="1">
      <c r="A140" s="64" t="s">
        <v>99</v>
      </c>
      <c r="B140" s="65" t="s">
        <v>50</v>
      </c>
      <c r="C140" s="65" t="s">
        <v>51</v>
      </c>
      <c r="D140" s="65" t="s">
        <v>52</v>
      </c>
      <c r="E140" s="65" t="s">
        <v>53</v>
      </c>
      <c r="F140" s="65" t="s">
        <v>54</v>
      </c>
      <c r="G140" s="65" t="s">
        <v>55</v>
      </c>
      <c r="H140" s="65" t="s">
        <v>56</v>
      </c>
      <c r="I140" s="65" t="s">
        <v>57</v>
      </c>
      <c r="J140" s="65" t="s">
        <v>58</v>
      </c>
      <c r="K140" s="65" t="s">
        <v>59</v>
      </c>
      <c r="L140" s="65" t="s">
        <v>60</v>
      </c>
      <c r="M140" s="65" t="s">
        <v>61</v>
      </c>
      <c r="N140" s="65" t="s">
        <v>62</v>
      </c>
      <c r="O140" s="65" t="s">
        <v>63</v>
      </c>
      <c r="P140" s="65" t="s">
        <v>64</v>
      </c>
      <c r="Q140" s="65" t="s">
        <v>65</v>
      </c>
      <c r="R140" s="65" t="s">
        <v>66</v>
      </c>
      <c r="S140" s="65" t="s">
        <v>67</v>
      </c>
      <c r="T140" s="65" t="s">
        <v>68</v>
      </c>
      <c r="U140" s="65" t="s">
        <v>69</v>
      </c>
      <c r="V140" s="65" t="s">
        <v>70</v>
      </c>
      <c r="W140" s="65" t="s">
        <v>71</v>
      </c>
      <c r="X140" s="65" t="s">
        <v>72</v>
      </c>
      <c r="Y140" s="65" t="s">
        <v>73</v>
      </c>
      <c r="Z140" s="65" t="s">
        <v>74</v>
      </c>
      <c r="AA140" s="65" t="s">
        <v>75</v>
      </c>
      <c r="AB140" s="65" t="s">
        <v>76</v>
      </c>
      <c r="AC140" s="65" t="s">
        <v>77</v>
      </c>
      <c r="AD140" s="65" t="s">
        <v>78</v>
      </c>
      <c r="AE140" s="65" t="s">
        <v>79</v>
      </c>
      <c r="AF140" s="65" t="s">
        <v>80</v>
      </c>
      <c r="AG140" s="65" t="s">
        <v>81</v>
      </c>
      <c r="AH140" s="65" t="s">
        <v>82</v>
      </c>
      <c r="AI140" s="65" t="s">
        <v>83</v>
      </c>
      <c r="AJ140" s="65" t="s">
        <v>84</v>
      </c>
      <c r="AK140" s="65" t="s">
        <v>85</v>
      </c>
    </row>
    <row r="141" ht="15.0" customHeight="1">
      <c r="A141" s="66" t="s">
        <v>100</v>
      </c>
      <c r="B141" s="29">
        <f t="shared" ref="B141:AK141" si="42">B127*$B$48-B137</f>
        <v>-23728.22049</v>
      </c>
      <c r="C141" s="29">
        <f t="shared" si="42"/>
        <v>-47065.02865</v>
      </c>
      <c r="D141" s="29">
        <f t="shared" si="42"/>
        <v>-72555.27257</v>
      </c>
      <c r="E141" s="29">
        <f t="shared" si="42"/>
        <v>-102285.4163</v>
      </c>
      <c r="F141" s="29">
        <f t="shared" si="42"/>
        <v>-127415.5163</v>
      </c>
      <c r="G141" s="29">
        <f t="shared" si="42"/>
        <v>-148003.0732</v>
      </c>
      <c r="H141" s="29">
        <f t="shared" si="42"/>
        <v>-164104.8688</v>
      </c>
      <c r="I141" s="29">
        <f t="shared" si="42"/>
        <v>-175776.975</v>
      </c>
      <c r="J141" s="29">
        <f t="shared" si="42"/>
        <v>-183074.763</v>
      </c>
      <c r="K141" s="29">
        <f t="shared" si="42"/>
        <v>-186052.9118</v>
      </c>
      <c r="L141" s="29">
        <f t="shared" si="42"/>
        <v>-184765.4169</v>
      </c>
      <c r="M141" s="29">
        <f t="shared" si="42"/>
        <v>-179265.5987</v>
      </c>
      <c r="N141" s="29">
        <f t="shared" si="42"/>
        <v>-169606.1114</v>
      </c>
      <c r="O141" s="29">
        <f t="shared" si="42"/>
        <v>-155838.9508</v>
      </c>
      <c r="P141" s="29">
        <f t="shared" si="42"/>
        <v>-138015.4628</v>
      </c>
      <c r="Q141" s="29">
        <f t="shared" si="42"/>
        <v>-116186.3515</v>
      </c>
      <c r="R141" s="29">
        <f t="shared" si="42"/>
        <v>-90401.68728</v>
      </c>
      <c r="S141" s="29">
        <f t="shared" si="42"/>
        <v>-60710.91445</v>
      </c>
      <c r="T141" s="29">
        <f t="shared" si="42"/>
        <v>-27162.85938</v>
      </c>
      <c r="U141" s="29">
        <f t="shared" si="42"/>
        <v>10194.26187</v>
      </c>
      <c r="V141" s="29">
        <f t="shared" si="42"/>
        <v>51312.836</v>
      </c>
      <c r="W141" s="29">
        <f t="shared" si="42"/>
        <v>96145.84483</v>
      </c>
      <c r="X141" s="29">
        <f t="shared" si="42"/>
        <v>144646.8579</v>
      </c>
      <c r="Y141" s="29">
        <f t="shared" si="42"/>
        <v>196770.0253</v>
      </c>
      <c r="Z141" s="29">
        <f t="shared" si="42"/>
        <v>252470.0699</v>
      </c>
      <c r="AA141" s="29">
        <f t="shared" si="42"/>
        <v>311702.2808</v>
      </c>
      <c r="AB141" s="29">
        <f t="shared" si="42"/>
        <v>374422.506</v>
      </c>
      <c r="AC141" s="29">
        <f t="shared" si="42"/>
        <v>440587.1453</v>
      </c>
      <c r="AD141" s="29">
        <f t="shared" si="42"/>
        <v>510153.1434</v>
      </c>
      <c r="AE141" s="29">
        <f t="shared" si="42"/>
        <v>583077.9835</v>
      </c>
      <c r="AF141" s="29">
        <f t="shared" si="42"/>
        <v>659319.6799</v>
      </c>
      <c r="AG141" s="29">
        <f t="shared" si="42"/>
        <v>738836.772</v>
      </c>
      <c r="AH141" s="29">
        <f t="shared" si="42"/>
        <v>821588.3174</v>
      </c>
      <c r="AI141" s="29">
        <f t="shared" si="42"/>
        <v>907533.8853</v>
      </c>
      <c r="AJ141" s="29">
        <f t="shared" si="42"/>
        <v>996633.5505</v>
      </c>
      <c r="AK141" s="29">
        <f t="shared" si="42"/>
        <v>1088847.887</v>
      </c>
    </row>
    <row r="142" ht="13.5" customHeight="1">
      <c r="A142" s="27" t="s">
        <v>101</v>
      </c>
      <c r="B142" s="29">
        <f t="shared" ref="B142:AK142" si="43">B129-B138</f>
        <v>-23728.22049</v>
      </c>
      <c r="C142" s="29">
        <f t="shared" si="43"/>
        <v>-70793.24913</v>
      </c>
      <c r="D142" s="29">
        <f t="shared" si="43"/>
        <v>-143348.5217</v>
      </c>
      <c r="E142" s="29">
        <f t="shared" si="43"/>
        <v>-245633.938</v>
      </c>
      <c r="F142" s="29">
        <f t="shared" si="43"/>
        <v>-373049.4543</v>
      </c>
      <c r="G142" s="29">
        <f t="shared" si="43"/>
        <v>-521052.5275</v>
      </c>
      <c r="H142" s="29">
        <f t="shared" si="43"/>
        <v>-685157.3963</v>
      </c>
      <c r="I142" s="29">
        <f t="shared" si="43"/>
        <v>-860934.3713</v>
      </c>
      <c r="J142" s="29">
        <f t="shared" si="43"/>
        <v>-1044009.134</v>
      </c>
      <c r="K142" s="29">
        <f t="shared" si="43"/>
        <v>-1230062.046</v>
      </c>
      <c r="L142" s="29">
        <f t="shared" si="43"/>
        <v>-1414827.463</v>
      </c>
      <c r="M142" s="29">
        <f t="shared" si="43"/>
        <v>-1594093.062</v>
      </c>
      <c r="N142" s="29">
        <f t="shared" si="43"/>
        <v>-1763699.173</v>
      </c>
      <c r="O142" s="29">
        <f t="shared" si="43"/>
        <v>-1919538.124</v>
      </c>
      <c r="P142" s="29">
        <f t="shared" si="43"/>
        <v>-2057553.587</v>
      </c>
      <c r="Q142" s="29">
        <f t="shared" si="43"/>
        <v>-2173739.938</v>
      </c>
      <c r="R142" s="29">
        <f t="shared" si="43"/>
        <v>-2264141.626</v>
      </c>
      <c r="S142" s="29">
        <f t="shared" si="43"/>
        <v>-2324852.54</v>
      </c>
      <c r="T142" s="29">
        <f t="shared" si="43"/>
        <v>-2352015.399</v>
      </c>
      <c r="U142" s="29">
        <f t="shared" si="43"/>
        <v>-2341821.138</v>
      </c>
      <c r="V142" s="29">
        <f t="shared" si="43"/>
        <v>-2290508.302</v>
      </c>
      <c r="W142" s="29">
        <f t="shared" si="43"/>
        <v>-2194362.457</v>
      </c>
      <c r="X142" s="29">
        <f t="shared" si="43"/>
        <v>-2049715.599</v>
      </c>
      <c r="Y142" s="29">
        <f t="shared" si="43"/>
        <v>-1852945.574</v>
      </c>
      <c r="Z142" s="29">
        <f t="shared" si="43"/>
        <v>-1600475.504</v>
      </c>
      <c r="AA142" s="29">
        <f t="shared" si="43"/>
        <v>-1288773.223</v>
      </c>
      <c r="AB142" s="29">
        <f t="shared" si="43"/>
        <v>-914350.7168</v>
      </c>
      <c r="AC142" s="29">
        <f t="shared" si="43"/>
        <v>-473763.5715</v>
      </c>
      <c r="AD142" s="29">
        <f t="shared" si="43"/>
        <v>36389.57187</v>
      </c>
      <c r="AE142" s="29">
        <f t="shared" si="43"/>
        <v>619467.5554</v>
      </c>
      <c r="AF142" s="29">
        <f t="shared" si="43"/>
        <v>1278787.235</v>
      </c>
      <c r="AG142" s="29">
        <f t="shared" si="43"/>
        <v>2017624.007</v>
      </c>
      <c r="AH142" s="29">
        <f t="shared" si="43"/>
        <v>2839212.325</v>
      </c>
      <c r="AI142" s="29">
        <f t="shared" si="43"/>
        <v>3746746.21</v>
      </c>
      <c r="AJ142" s="29">
        <f t="shared" si="43"/>
        <v>4743379.761</v>
      </c>
      <c r="AK142" s="29">
        <f t="shared" si="43"/>
        <v>5832227.647</v>
      </c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ht="19.5" customHeight="1">
      <c r="A177" s="76" t="s">
        <v>117</v>
      </c>
      <c r="B177" s="11"/>
      <c r="C177" s="11"/>
      <c r="D177" s="11"/>
      <c r="E177" s="11"/>
      <c r="F177" s="1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ht="15.0" customHeight="1">
      <c r="A178" s="5"/>
      <c r="B178" s="5"/>
      <c r="C178" s="5"/>
      <c r="D178" s="5"/>
      <c r="E178" s="5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ht="16.5" customHeight="1">
      <c r="A179" s="64" t="s">
        <v>118</v>
      </c>
      <c r="B179" s="85"/>
      <c r="C179" s="85"/>
      <c r="D179" s="85"/>
      <c r="E179" s="85"/>
      <c r="F179" s="85"/>
      <c r="G179" s="8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ht="18.0" customHeight="1">
      <c r="A180" s="86" t="s">
        <v>49</v>
      </c>
      <c r="B180" s="87" t="s">
        <v>50</v>
      </c>
      <c r="C180" s="87" t="s">
        <v>51</v>
      </c>
      <c r="D180" s="87" t="s">
        <v>52</v>
      </c>
      <c r="E180" s="87" t="s">
        <v>53</v>
      </c>
      <c r="F180" s="87" t="s">
        <v>54</v>
      </c>
      <c r="G180" s="87" t="s">
        <v>55</v>
      </c>
      <c r="H180" s="77" t="s">
        <v>56</v>
      </c>
      <c r="I180" s="77" t="s">
        <v>57</v>
      </c>
      <c r="J180" s="77" t="s">
        <v>58</v>
      </c>
      <c r="K180" s="65" t="s">
        <v>59</v>
      </c>
      <c r="L180" s="65" t="s">
        <v>60</v>
      </c>
      <c r="M180" s="65" t="s">
        <v>61</v>
      </c>
      <c r="N180" s="65" t="s">
        <v>62</v>
      </c>
      <c r="O180" s="65" t="s">
        <v>63</v>
      </c>
      <c r="P180" s="65" t="s">
        <v>64</v>
      </c>
      <c r="Q180" s="65" t="s">
        <v>65</v>
      </c>
      <c r="R180" s="65" t="s">
        <v>66</v>
      </c>
      <c r="S180" s="65" t="s">
        <v>67</v>
      </c>
      <c r="T180" s="65" t="s">
        <v>68</v>
      </c>
      <c r="U180" s="65" t="s">
        <v>69</v>
      </c>
      <c r="V180" s="65" t="s">
        <v>70</v>
      </c>
      <c r="W180" s="65" t="s">
        <v>71</v>
      </c>
      <c r="X180" s="65" t="s">
        <v>72</v>
      </c>
      <c r="Y180" s="65" t="s">
        <v>73</v>
      </c>
      <c r="Z180" s="65" t="s">
        <v>74</v>
      </c>
      <c r="AA180" s="65" t="s">
        <v>75</v>
      </c>
      <c r="AB180" s="65" t="s">
        <v>76</v>
      </c>
      <c r="AC180" s="65" t="s">
        <v>77</v>
      </c>
      <c r="AD180" s="65" t="s">
        <v>78</v>
      </c>
      <c r="AE180" s="65" t="s">
        <v>79</v>
      </c>
      <c r="AF180" s="65" t="s">
        <v>80</v>
      </c>
      <c r="AG180" s="65" t="s">
        <v>81</v>
      </c>
      <c r="AH180" s="65" t="s">
        <v>82</v>
      </c>
      <c r="AI180" s="65" t="s">
        <v>83</v>
      </c>
      <c r="AJ180" s="65" t="s">
        <v>84</v>
      </c>
      <c r="AK180" s="65" t="s">
        <v>85</v>
      </c>
    </row>
    <row r="181" ht="15.0" customHeight="1">
      <c r="A181" s="88" t="s">
        <v>9</v>
      </c>
      <c r="B181" s="20">
        <v>0.1</v>
      </c>
      <c r="C181" s="20">
        <v>0.33</v>
      </c>
      <c r="D181" s="20">
        <v>0.66</v>
      </c>
      <c r="E181" s="20">
        <v>1.0</v>
      </c>
      <c r="F181" s="20">
        <v>1.0</v>
      </c>
      <c r="G181" s="20">
        <v>1.0</v>
      </c>
      <c r="H181" s="20">
        <v>1.0</v>
      </c>
      <c r="I181" s="20">
        <v>1.0</v>
      </c>
      <c r="J181" s="20">
        <v>1.0</v>
      </c>
      <c r="K181" s="89">
        <v>1.0</v>
      </c>
      <c r="L181" s="68">
        <v>1.0</v>
      </c>
      <c r="M181" s="68">
        <v>1.0</v>
      </c>
      <c r="N181" s="68">
        <v>1.0</v>
      </c>
      <c r="O181" s="68">
        <v>1.0</v>
      </c>
      <c r="P181" s="68">
        <v>1.0</v>
      </c>
      <c r="Q181" s="68">
        <v>1.0</v>
      </c>
      <c r="R181" s="68">
        <v>1.0</v>
      </c>
      <c r="S181" s="68">
        <v>1.0</v>
      </c>
      <c r="T181" s="68">
        <v>1.0</v>
      </c>
      <c r="U181" s="68">
        <v>1.0</v>
      </c>
      <c r="V181" s="68">
        <v>1.0</v>
      </c>
      <c r="W181" s="68">
        <v>1.0</v>
      </c>
      <c r="X181" s="68">
        <v>1.0</v>
      </c>
      <c r="Y181" s="68">
        <v>1.0</v>
      </c>
      <c r="Z181" s="68">
        <v>1.0</v>
      </c>
      <c r="AA181" s="68">
        <v>1.0</v>
      </c>
      <c r="AB181" s="68">
        <v>1.0</v>
      </c>
      <c r="AC181" s="68">
        <v>1.0</v>
      </c>
      <c r="AD181" s="68">
        <v>1.0</v>
      </c>
      <c r="AE181" s="68">
        <v>1.0</v>
      </c>
      <c r="AF181" s="68">
        <v>1.0</v>
      </c>
      <c r="AG181" s="68">
        <v>1.0</v>
      </c>
      <c r="AH181" s="68">
        <v>1.0</v>
      </c>
      <c r="AI181" s="68">
        <v>1.0</v>
      </c>
      <c r="AJ181" s="68">
        <v>1.0</v>
      </c>
      <c r="AK181" s="68">
        <v>1.0</v>
      </c>
    </row>
    <row r="182" ht="13.5" customHeight="1">
      <c r="A182" s="27" t="s">
        <v>86</v>
      </c>
      <c r="B182" s="28">
        <f t="shared" ref="B182:AK182" si="44">B181*$B$44*(1-$B$40)</f>
        <v>3541.666667</v>
      </c>
      <c r="C182" s="28">
        <f t="shared" si="44"/>
        <v>11687.5</v>
      </c>
      <c r="D182" s="28">
        <f t="shared" si="44"/>
        <v>23375</v>
      </c>
      <c r="E182" s="28">
        <f t="shared" si="44"/>
        <v>35416.66667</v>
      </c>
      <c r="F182" s="28">
        <f t="shared" si="44"/>
        <v>35416.66667</v>
      </c>
      <c r="G182" s="28">
        <f t="shared" si="44"/>
        <v>35416.66667</v>
      </c>
      <c r="H182" s="28">
        <f t="shared" si="44"/>
        <v>35416.66667</v>
      </c>
      <c r="I182" s="28">
        <f t="shared" si="44"/>
        <v>35416.66667</v>
      </c>
      <c r="J182" s="28">
        <f t="shared" si="44"/>
        <v>35416.66667</v>
      </c>
      <c r="K182" s="29">
        <f t="shared" si="44"/>
        <v>35416.66667</v>
      </c>
      <c r="L182" s="29">
        <f t="shared" si="44"/>
        <v>35416.66667</v>
      </c>
      <c r="M182" s="29">
        <f t="shared" si="44"/>
        <v>35416.66667</v>
      </c>
      <c r="N182" s="29">
        <f t="shared" si="44"/>
        <v>35416.66667</v>
      </c>
      <c r="O182" s="29">
        <f t="shared" si="44"/>
        <v>35416.66667</v>
      </c>
      <c r="P182" s="29">
        <f t="shared" si="44"/>
        <v>35416.66667</v>
      </c>
      <c r="Q182" s="29">
        <f t="shared" si="44"/>
        <v>35416.66667</v>
      </c>
      <c r="R182" s="29">
        <f t="shared" si="44"/>
        <v>35416.66667</v>
      </c>
      <c r="S182" s="29">
        <f t="shared" si="44"/>
        <v>35416.66667</v>
      </c>
      <c r="T182" s="29">
        <f t="shared" si="44"/>
        <v>35416.66667</v>
      </c>
      <c r="U182" s="29">
        <f t="shared" si="44"/>
        <v>35416.66667</v>
      </c>
      <c r="V182" s="29">
        <f t="shared" si="44"/>
        <v>35416.66667</v>
      </c>
      <c r="W182" s="29">
        <f t="shared" si="44"/>
        <v>35416.66667</v>
      </c>
      <c r="X182" s="29">
        <f t="shared" si="44"/>
        <v>35416.66667</v>
      </c>
      <c r="Y182" s="29">
        <f t="shared" si="44"/>
        <v>35416.66667</v>
      </c>
      <c r="Z182" s="29">
        <f t="shared" si="44"/>
        <v>35416.66667</v>
      </c>
      <c r="AA182" s="29">
        <f t="shared" si="44"/>
        <v>35416.66667</v>
      </c>
      <c r="AB182" s="29">
        <f t="shared" si="44"/>
        <v>35416.66667</v>
      </c>
      <c r="AC182" s="29">
        <f t="shared" si="44"/>
        <v>35416.66667</v>
      </c>
      <c r="AD182" s="29">
        <f t="shared" si="44"/>
        <v>35416.66667</v>
      </c>
      <c r="AE182" s="29">
        <f t="shared" si="44"/>
        <v>35416.66667</v>
      </c>
      <c r="AF182" s="29">
        <f t="shared" si="44"/>
        <v>35416.66667</v>
      </c>
      <c r="AG182" s="29">
        <f t="shared" si="44"/>
        <v>35416.66667</v>
      </c>
      <c r="AH182" s="29">
        <f t="shared" si="44"/>
        <v>35416.66667</v>
      </c>
      <c r="AI182" s="29">
        <f t="shared" si="44"/>
        <v>35416.66667</v>
      </c>
      <c r="AJ182" s="29">
        <f t="shared" si="44"/>
        <v>35416.66667</v>
      </c>
      <c r="AK182" s="29">
        <f t="shared" si="44"/>
        <v>35416.66667</v>
      </c>
    </row>
    <row r="183" ht="13.5" customHeight="1">
      <c r="A183" s="27" t="s">
        <v>119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>
        <f t="shared" ref="M183:Y183" si="45">B182</f>
        <v>3541.666667</v>
      </c>
      <c r="N183" s="29">
        <f t="shared" si="45"/>
        <v>11687.5</v>
      </c>
      <c r="O183" s="29">
        <f t="shared" si="45"/>
        <v>23375</v>
      </c>
      <c r="P183" s="29">
        <f t="shared" si="45"/>
        <v>35416.66667</v>
      </c>
      <c r="Q183" s="29">
        <f t="shared" si="45"/>
        <v>35416.66667</v>
      </c>
      <c r="R183" s="29">
        <f t="shared" si="45"/>
        <v>35416.66667</v>
      </c>
      <c r="S183" s="29">
        <f t="shared" si="45"/>
        <v>35416.66667</v>
      </c>
      <c r="T183" s="29">
        <f t="shared" si="45"/>
        <v>35416.66667</v>
      </c>
      <c r="U183" s="29">
        <f t="shared" si="45"/>
        <v>35416.66667</v>
      </c>
      <c r="V183" s="29">
        <f t="shared" si="45"/>
        <v>35416.66667</v>
      </c>
      <c r="W183" s="29">
        <f t="shared" si="45"/>
        <v>35416.66667</v>
      </c>
      <c r="X183" s="29">
        <f t="shared" si="45"/>
        <v>35416.66667</v>
      </c>
      <c r="Y183" s="29">
        <f t="shared" si="45"/>
        <v>35416.66667</v>
      </c>
      <c r="Z183" s="29">
        <f t="shared" ref="Z183:AK183" si="46">M182+M185</f>
        <v>38427.08333</v>
      </c>
      <c r="AA183" s="29">
        <f t="shared" si="46"/>
        <v>45351.04167</v>
      </c>
      <c r="AB183" s="29">
        <f t="shared" si="46"/>
        <v>55285.41667</v>
      </c>
      <c r="AC183" s="29">
        <f t="shared" si="46"/>
        <v>65520.83333</v>
      </c>
      <c r="AD183" s="29">
        <f t="shared" si="46"/>
        <v>65520.83333</v>
      </c>
      <c r="AE183" s="29">
        <f t="shared" si="46"/>
        <v>65520.83333</v>
      </c>
      <c r="AF183" s="29">
        <f t="shared" si="46"/>
        <v>65520.83333</v>
      </c>
      <c r="AG183" s="29">
        <f t="shared" si="46"/>
        <v>65520.83333</v>
      </c>
      <c r="AH183" s="29">
        <f t="shared" si="46"/>
        <v>65520.83333</v>
      </c>
      <c r="AI183" s="29">
        <f t="shared" si="46"/>
        <v>65520.83333</v>
      </c>
      <c r="AJ183" s="29">
        <f t="shared" si="46"/>
        <v>65520.83333</v>
      </c>
      <c r="AK183" s="29">
        <f t="shared" si="46"/>
        <v>65520.83333</v>
      </c>
    </row>
    <row r="184" ht="13.5" customHeight="1">
      <c r="A184" s="27" t="s">
        <v>89</v>
      </c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69">
        <f t="shared" ref="M184:AK184" si="47">-$B$47*12*M183</f>
        <v>-531.25</v>
      </c>
      <c r="N184" s="69">
        <f t="shared" si="47"/>
        <v>-1753.125</v>
      </c>
      <c r="O184" s="69">
        <f t="shared" si="47"/>
        <v>-3506.25</v>
      </c>
      <c r="P184" s="69">
        <f t="shared" si="47"/>
        <v>-5312.5</v>
      </c>
      <c r="Q184" s="69">
        <f t="shared" si="47"/>
        <v>-5312.5</v>
      </c>
      <c r="R184" s="69">
        <f t="shared" si="47"/>
        <v>-5312.5</v>
      </c>
      <c r="S184" s="69">
        <f t="shared" si="47"/>
        <v>-5312.5</v>
      </c>
      <c r="T184" s="69">
        <f t="shared" si="47"/>
        <v>-5312.5</v>
      </c>
      <c r="U184" s="69">
        <f t="shared" si="47"/>
        <v>-5312.5</v>
      </c>
      <c r="V184" s="69">
        <f t="shared" si="47"/>
        <v>-5312.5</v>
      </c>
      <c r="W184" s="69">
        <f t="shared" si="47"/>
        <v>-5312.5</v>
      </c>
      <c r="X184" s="69">
        <f t="shared" si="47"/>
        <v>-5312.5</v>
      </c>
      <c r="Y184" s="69">
        <f t="shared" si="47"/>
        <v>-5312.5</v>
      </c>
      <c r="Z184" s="69">
        <f t="shared" si="47"/>
        <v>-5764.0625</v>
      </c>
      <c r="AA184" s="69">
        <f t="shared" si="47"/>
        <v>-6802.65625</v>
      </c>
      <c r="AB184" s="69">
        <f t="shared" si="47"/>
        <v>-8292.8125</v>
      </c>
      <c r="AC184" s="69">
        <f t="shared" si="47"/>
        <v>-9828.125</v>
      </c>
      <c r="AD184" s="69">
        <f t="shared" si="47"/>
        <v>-9828.125</v>
      </c>
      <c r="AE184" s="69">
        <f t="shared" si="47"/>
        <v>-9828.125</v>
      </c>
      <c r="AF184" s="69">
        <f t="shared" si="47"/>
        <v>-9828.125</v>
      </c>
      <c r="AG184" s="69">
        <f t="shared" si="47"/>
        <v>-9828.125</v>
      </c>
      <c r="AH184" s="69">
        <f t="shared" si="47"/>
        <v>-9828.125</v>
      </c>
      <c r="AI184" s="69">
        <f t="shared" si="47"/>
        <v>-9828.125</v>
      </c>
      <c r="AJ184" s="69">
        <f t="shared" si="47"/>
        <v>-9828.125</v>
      </c>
      <c r="AK184" s="69">
        <f t="shared" si="47"/>
        <v>-9828.125</v>
      </c>
    </row>
    <row r="185" ht="13.5" customHeight="1">
      <c r="A185" s="27" t="s">
        <v>120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>
        <f t="shared" ref="M185:AK185" si="48">M183+M184</f>
        <v>3010.416667</v>
      </c>
      <c r="N185" s="29">
        <f t="shared" si="48"/>
        <v>9934.375</v>
      </c>
      <c r="O185" s="29">
        <f t="shared" si="48"/>
        <v>19868.75</v>
      </c>
      <c r="P185" s="29">
        <f t="shared" si="48"/>
        <v>30104.16667</v>
      </c>
      <c r="Q185" s="29">
        <f t="shared" si="48"/>
        <v>30104.16667</v>
      </c>
      <c r="R185" s="29">
        <f t="shared" si="48"/>
        <v>30104.16667</v>
      </c>
      <c r="S185" s="29">
        <f t="shared" si="48"/>
        <v>30104.16667</v>
      </c>
      <c r="T185" s="29">
        <f t="shared" si="48"/>
        <v>30104.16667</v>
      </c>
      <c r="U185" s="29">
        <f t="shared" si="48"/>
        <v>30104.16667</v>
      </c>
      <c r="V185" s="29">
        <f t="shared" si="48"/>
        <v>30104.16667</v>
      </c>
      <c r="W185" s="29">
        <f t="shared" si="48"/>
        <v>30104.16667</v>
      </c>
      <c r="X185" s="29">
        <f t="shared" si="48"/>
        <v>30104.16667</v>
      </c>
      <c r="Y185" s="29">
        <f t="shared" si="48"/>
        <v>30104.16667</v>
      </c>
      <c r="Z185" s="29">
        <f t="shared" si="48"/>
        <v>32663.02083</v>
      </c>
      <c r="AA185" s="29">
        <f t="shared" si="48"/>
        <v>38548.38542</v>
      </c>
      <c r="AB185" s="29">
        <f t="shared" si="48"/>
        <v>46992.60417</v>
      </c>
      <c r="AC185" s="29">
        <f t="shared" si="48"/>
        <v>55692.70833</v>
      </c>
      <c r="AD185" s="29">
        <f t="shared" si="48"/>
        <v>55692.70833</v>
      </c>
      <c r="AE185" s="29">
        <f t="shared" si="48"/>
        <v>55692.70833</v>
      </c>
      <c r="AF185" s="29">
        <f t="shared" si="48"/>
        <v>55692.70833</v>
      </c>
      <c r="AG185" s="29">
        <f t="shared" si="48"/>
        <v>55692.70833</v>
      </c>
      <c r="AH185" s="29">
        <f t="shared" si="48"/>
        <v>55692.70833</v>
      </c>
      <c r="AI185" s="29">
        <f t="shared" si="48"/>
        <v>55692.70833</v>
      </c>
      <c r="AJ185" s="29">
        <f t="shared" si="48"/>
        <v>55692.70833</v>
      </c>
      <c r="AK185" s="29">
        <f t="shared" si="48"/>
        <v>55692.70833</v>
      </c>
    </row>
    <row r="186" ht="13.5" customHeight="1">
      <c r="A186" s="70" t="s">
        <v>121</v>
      </c>
      <c r="B186" s="71">
        <f t="shared" ref="B186:L186" si="49">B182</f>
        <v>3541.666667</v>
      </c>
      <c r="C186" s="71">
        <f t="shared" si="49"/>
        <v>11687.5</v>
      </c>
      <c r="D186" s="71">
        <f t="shared" si="49"/>
        <v>23375</v>
      </c>
      <c r="E186" s="71">
        <f t="shared" si="49"/>
        <v>35416.66667</v>
      </c>
      <c r="F186" s="71">
        <f t="shared" si="49"/>
        <v>35416.66667</v>
      </c>
      <c r="G186" s="71">
        <f t="shared" si="49"/>
        <v>35416.66667</v>
      </c>
      <c r="H186" s="71">
        <f t="shared" si="49"/>
        <v>35416.66667</v>
      </c>
      <c r="I186" s="71">
        <f t="shared" si="49"/>
        <v>35416.66667</v>
      </c>
      <c r="J186" s="71">
        <f t="shared" si="49"/>
        <v>35416.66667</v>
      </c>
      <c r="K186" s="71">
        <f t="shared" si="49"/>
        <v>35416.66667</v>
      </c>
      <c r="L186" s="71">
        <f t="shared" si="49"/>
        <v>35416.66667</v>
      </c>
      <c r="M186" s="71">
        <f t="shared" ref="M186:AK186" si="50">M182+M185</f>
        <v>38427.08333</v>
      </c>
      <c r="N186" s="71">
        <f t="shared" si="50"/>
        <v>45351.04167</v>
      </c>
      <c r="O186" s="71">
        <f t="shared" si="50"/>
        <v>55285.41667</v>
      </c>
      <c r="P186" s="71">
        <f t="shared" si="50"/>
        <v>65520.83333</v>
      </c>
      <c r="Q186" s="71">
        <f t="shared" si="50"/>
        <v>65520.83333</v>
      </c>
      <c r="R186" s="71">
        <f t="shared" si="50"/>
        <v>65520.83333</v>
      </c>
      <c r="S186" s="71">
        <f t="shared" si="50"/>
        <v>65520.83333</v>
      </c>
      <c r="T186" s="71">
        <f t="shared" si="50"/>
        <v>65520.83333</v>
      </c>
      <c r="U186" s="71">
        <f t="shared" si="50"/>
        <v>65520.83333</v>
      </c>
      <c r="V186" s="71">
        <f t="shared" si="50"/>
        <v>65520.83333</v>
      </c>
      <c r="W186" s="71">
        <f t="shared" si="50"/>
        <v>65520.83333</v>
      </c>
      <c r="X186" s="71">
        <f t="shared" si="50"/>
        <v>65520.83333</v>
      </c>
      <c r="Y186" s="71">
        <f t="shared" si="50"/>
        <v>65520.83333</v>
      </c>
      <c r="Z186" s="71">
        <f t="shared" si="50"/>
        <v>68079.6875</v>
      </c>
      <c r="AA186" s="71">
        <f t="shared" si="50"/>
        <v>73965.05208</v>
      </c>
      <c r="AB186" s="71">
        <f t="shared" si="50"/>
        <v>82409.27083</v>
      </c>
      <c r="AC186" s="71">
        <f t="shared" si="50"/>
        <v>91109.375</v>
      </c>
      <c r="AD186" s="71">
        <f t="shared" si="50"/>
        <v>91109.375</v>
      </c>
      <c r="AE186" s="71">
        <f t="shared" si="50"/>
        <v>91109.375</v>
      </c>
      <c r="AF186" s="71">
        <f t="shared" si="50"/>
        <v>91109.375</v>
      </c>
      <c r="AG186" s="71">
        <f t="shared" si="50"/>
        <v>91109.375</v>
      </c>
      <c r="AH186" s="71">
        <f t="shared" si="50"/>
        <v>91109.375</v>
      </c>
      <c r="AI186" s="71">
        <f t="shared" si="50"/>
        <v>91109.375</v>
      </c>
      <c r="AJ186" s="71">
        <f t="shared" si="50"/>
        <v>91109.375</v>
      </c>
      <c r="AK186" s="71">
        <f t="shared" si="50"/>
        <v>91109.375</v>
      </c>
    </row>
    <row r="187" ht="15.0" customHeight="1">
      <c r="A187" s="72" t="s">
        <v>91</v>
      </c>
      <c r="B187" s="73">
        <f>B186</f>
        <v>3541.666667</v>
      </c>
      <c r="C187" s="73">
        <f t="shared" ref="C187:AK187" si="51">B187+C186</f>
        <v>15229.16667</v>
      </c>
      <c r="D187" s="73">
        <f t="shared" si="51"/>
        <v>38604.16667</v>
      </c>
      <c r="E187" s="73">
        <f t="shared" si="51"/>
        <v>74020.83333</v>
      </c>
      <c r="F187" s="73">
        <f t="shared" si="51"/>
        <v>109437.5</v>
      </c>
      <c r="G187" s="73">
        <f t="shared" si="51"/>
        <v>144854.1667</v>
      </c>
      <c r="H187" s="73">
        <f t="shared" si="51"/>
        <v>180270.8333</v>
      </c>
      <c r="I187" s="73">
        <f t="shared" si="51"/>
        <v>215687.5</v>
      </c>
      <c r="J187" s="73">
        <f t="shared" si="51"/>
        <v>251104.1667</v>
      </c>
      <c r="K187" s="73">
        <f t="shared" si="51"/>
        <v>286520.8333</v>
      </c>
      <c r="L187" s="73">
        <f t="shared" si="51"/>
        <v>321937.5</v>
      </c>
      <c r="M187" s="73">
        <f t="shared" si="51"/>
        <v>360364.5833</v>
      </c>
      <c r="N187" s="73">
        <f t="shared" si="51"/>
        <v>405715.625</v>
      </c>
      <c r="O187" s="73">
        <f t="shared" si="51"/>
        <v>461001.0417</v>
      </c>
      <c r="P187" s="73">
        <f t="shared" si="51"/>
        <v>526521.875</v>
      </c>
      <c r="Q187" s="73">
        <f t="shared" si="51"/>
        <v>592042.7083</v>
      </c>
      <c r="R187" s="73">
        <f t="shared" si="51"/>
        <v>657563.5417</v>
      </c>
      <c r="S187" s="73">
        <f t="shared" si="51"/>
        <v>723084.375</v>
      </c>
      <c r="T187" s="73">
        <f t="shared" si="51"/>
        <v>788605.2083</v>
      </c>
      <c r="U187" s="73">
        <f t="shared" si="51"/>
        <v>854126.0417</v>
      </c>
      <c r="V187" s="73">
        <f t="shared" si="51"/>
        <v>919646.875</v>
      </c>
      <c r="W187" s="73">
        <f t="shared" si="51"/>
        <v>985167.7083</v>
      </c>
      <c r="X187" s="73">
        <f t="shared" si="51"/>
        <v>1050688.542</v>
      </c>
      <c r="Y187" s="73">
        <f t="shared" si="51"/>
        <v>1116209.375</v>
      </c>
      <c r="Z187" s="73">
        <f t="shared" si="51"/>
        <v>1184289.063</v>
      </c>
      <c r="AA187" s="73">
        <f t="shared" si="51"/>
        <v>1258254.115</v>
      </c>
      <c r="AB187" s="73">
        <f t="shared" si="51"/>
        <v>1340663.385</v>
      </c>
      <c r="AC187" s="73">
        <f t="shared" si="51"/>
        <v>1431772.76</v>
      </c>
      <c r="AD187" s="73">
        <f t="shared" si="51"/>
        <v>1522882.135</v>
      </c>
      <c r="AE187" s="73">
        <f t="shared" si="51"/>
        <v>1613991.51</v>
      </c>
      <c r="AF187" s="73">
        <f t="shared" si="51"/>
        <v>1705100.885</v>
      </c>
      <c r="AG187" s="73">
        <f t="shared" si="51"/>
        <v>1796210.26</v>
      </c>
      <c r="AH187" s="73">
        <f t="shared" si="51"/>
        <v>1887319.635</v>
      </c>
      <c r="AI187" s="73">
        <f t="shared" si="51"/>
        <v>1978429.01</v>
      </c>
      <c r="AJ187" s="73">
        <f t="shared" si="51"/>
        <v>2069538.385</v>
      </c>
      <c r="AK187" s="73">
        <f t="shared" si="51"/>
        <v>2160647.76</v>
      </c>
    </row>
    <row r="188" ht="15.0" customHeight="1">
      <c r="A188" s="74" t="s">
        <v>92</v>
      </c>
      <c r="B188" s="75">
        <f t="shared" ref="B188:AK188" si="52">$B$48*B187</f>
        <v>2833.333333</v>
      </c>
      <c r="C188" s="75">
        <f t="shared" si="52"/>
        <v>12183.33333</v>
      </c>
      <c r="D188" s="75">
        <f t="shared" si="52"/>
        <v>30883.33333</v>
      </c>
      <c r="E188" s="75">
        <f t="shared" si="52"/>
        <v>59216.66667</v>
      </c>
      <c r="F188" s="75">
        <f t="shared" si="52"/>
        <v>87550</v>
      </c>
      <c r="G188" s="75">
        <f t="shared" si="52"/>
        <v>115883.3333</v>
      </c>
      <c r="H188" s="75">
        <f t="shared" si="52"/>
        <v>144216.6667</v>
      </c>
      <c r="I188" s="75">
        <f t="shared" si="52"/>
        <v>172550</v>
      </c>
      <c r="J188" s="75">
        <f t="shared" si="52"/>
        <v>200883.3333</v>
      </c>
      <c r="K188" s="75">
        <f t="shared" si="52"/>
        <v>229216.6667</v>
      </c>
      <c r="L188" s="75">
        <f t="shared" si="52"/>
        <v>257550</v>
      </c>
      <c r="M188" s="75">
        <f t="shared" si="52"/>
        <v>288291.6667</v>
      </c>
      <c r="N188" s="75">
        <f t="shared" si="52"/>
        <v>324572.5</v>
      </c>
      <c r="O188" s="75">
        <f t="shared" si="52"/>
        <v>368800.8333</v>
      </c>
      <c r="P188" s="75">
        <f t="shared" si="52"/>
        <v>421217.5</v>
      </c>
      <c r="Q188" s="75">
        <f t="shared" si="52"/>
        <v>473634.1667</v>
      </c>
      <c r="R188" s="75">
        <f t="shared" si="52"/>
        <v>526050.8333</v>
      </c>
      <c r="S188" s="75">
        <f t="shared" si="52"/>
        <v>578467.5</v>
      </c>
      <c r="T188" s="75">
        <f t="shared" si="52"/>
        <v>630884.1667</v>
      </c>
      <c r="U188" s="75">
        <f t="shared" si="52"/>
        <v>683300.8333</v>
      </c>
      <c r="V188" s="75">
        <f t="shared" si="52"/>
        <v>735717.5</v>
      </c>
      <c r="W188" s="75">
        <f t="shared" si="52"/>
        <v>788134.1667</v>
      </c>
      <c r="X188" s="75">
        <f t="shared" si="52"/>
        <v>840550.8333</v>
      </c>
      <c r="Y188" s="75">
        <f t="shared" si="52"/>
        <v>892967.5</v>
      </c>
      <c r="Z188" s="75">
        <f t="shared" si="52"/>
        <v>947431.25</v>
      </c>
      <c r="AA188" s="75">
        <f t="shared" si="52"/>
        <v>1006603.292</v>
      </c>
      <c r="AB188" s="75">
        <f t="shared" si="52"/>
        <v>1072530.708</v>
      </c>
      <c r="AC188" s="75">
        <f t="shared" si="52"/>
        <v>1145418.208</v>
      </c>
      <c r="AD188" s="75">
        <f t="shared" si="52"/>
        <v>1218305.708</v>
      </c>
      <c r="AE188" s="75">
        <f t="shared" si="52"/>
        <v>1291193.208</v>
      </c>
      <c r="AF188" s="75">
        <f t="shared" si="52"/>
        <v>1364080.708</v>
      </c>
      <c r="AG188" s="75">
        <f t="shared" si="52"/>
        <v>1436968.208</v>
      </c>
      <c r="AH188" s="75">
        <f t="shared" si="52"/>
        <v>1509855.708</v>
      </c>
      <c r="AI188" s="75">
        <f t="shared" si="52"/>
        <v>1582743.208</v>
      </c>
      <c r="AJ188" s="75">
        <f t="shared" si="52"/>
        <v>1655630.708</v>
      </c>
      <c r="AK188" s="75">
        <f t="shared" si="52"/>
        <v>1728518.208</v>
      </c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ht="13.5" customHeight="1">
      <c r="A190" s="3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</row>
    <row r="191" ht="16.5" customHeight="1">
      <c r="A191" s="64" t="s">
        <v>99</v>
      </c>
      <c r="B191" s="65" t="s">
        <v>50</v>
      </c>
      <c r="C191" s="65" t="s">
        <v>51</v>
      </c>
      <c r="D191" s="65" t="s">
        <v>52</v>
      </c>
      <c r="E191" s="65" t="s">
        <v>53</v>
      </c>
      <c r="F191" s="65" t="s">
        <v>54</v>
      </c>
      <c r="G191" s="65" t="s">
        <v>55</v>
      </c>
      <c r="H191" s="65" t="s">
        <v>56</v>
      </c>
      <c r="I191" s="65" t="s">
        <v>57</v>
      </c>
      <c r="J191" s="65" t="s">
        <v>58</v>
      </c>
      <c r="K191" s="65" t="s">
        <v>59</v>
      </c>
      <c r="L191" s="65" t="s">
        <v>60</v>
      </c>
      <c r="M191" s="65" t="s">
        <v>61</v>
      </c>
      <c r="N191" s="65" t="s">
        <v>62</v>
      </c>
      <c r="O191" s="65" t="s">
        <v>63</v>
      </c>
      <c r="P191" s="65" t="s">
        <v>64</v>
      </c>
      <c r="Q191" s="65" t="s">
        <v>65</v>
      </c>
      <c r="R191" s="65" t="s">
        <v>66</v>
      </c>
      <c r="S191" s="65" t="s">
        <v>67</v>
      </c>
      <c r="T191" s="65" t="s">
        <v>68</v>
      </c>
      <c r="U191" s="65" t="s">
        <v>69</v>
      </c>
      <c r="V191" s="65" t="s">
        <v>70</v>
      </c>
      <c r="W191" s="65" t="s">
        <v>71</v>
      </c>
      <c r="X191" s="65" t="s">
        <v>72</v>
      </c>
      <c r="Y191" s="65" t="s">
        <v>73</v>
      </c>
      <c r="Z191" s="65" t="s">
        <v>74</v>
      </c>
      <c r="AA191" s="65" t="s">
        <v>75</v>
      </c>
      <c r="AB191" s="65" t="s">
        <v>76</v>
      </c>
      <c r="AC191" s="65" t="s">
        <v>77</v>
      </c>
      <c r="AD191" s="65" t="s">
        <v>78</v>
      </c>
      <c r="AE191" s="65" t="s">
        <v>79</v>
      </c>
      <c r="AF191" s="65" t="s">
        <v>80</v>
      </c>
      <c r="AG191" s="65" t="s">
        <v>81</v>
      </c>
      <c r="AH191" s="65" t="s">
        <v>82</v>
      </c>
      <c r="AI191" s="65" t="s">
        <v>83</v>
      </c>
      <c r="AJ191" s="65" t="s">
        <v>84</v>
      </c>
      <c r="AK191" s="65" t="s">
        <v>85</v>
      </c>
    </row>
    <row r="192" ht="15.0" customHeight="1">
      <c r="A192" s="66" t="s">
        <v>122</v>
      </c>
      <c r="B192" s="29">
        <f t="shared" ref="B192:AK192" si="53">B186*$B$48-B81</f>
        <v>-9266.888021</v>
      </c>
      <c r="C192" s="29">
        <f t="shared" si="53"/>
        <v>-3330.730469</v>
      </c>
      <c r="D192" s="29">
        <f t="shared" si="53"/>
        <v>3396.872396</v>
      </c>
      <c r="E192" s="29">
        <f t="shared" si="53"/>
        <v>8581.119792</v>
      </c>
      <c r="F192" s="29">
        <f t="shared" si="53"/>
        <v>8581.119792</v>
      </c>
      <c r="G192" s="29">
        <f t="shared" si="53"/>
        <v>8581.119792</v>
      </c>
      <c r="H192" s="29">
        <f t="shared" si="53"/>
        <v>8581.119792</v>
      </c>
      <c r="I192" s="29">
        <f t="shared" si="53"/>
        <v>8581.119792</v>
      </c>
      <c r="J192" s="29">
        <f t="shared" si="53"/>
        <v>8581.119792</v>
      </c>
      <c r="K192" s="29">
        <f t="shared" si="53"/>
        <v>8581.119792</v>
      </c>
      <c r="L192" s="29">
        <f t="shared" si="53"/>
        <v>8581.119792</v>
      </c>
      <c r="M192" s="29">
        <f t="shared" si="53"/>
        <v>10989.45313</v>
      </c>
      <c r="N192" s="29">
        <f t="shared" si="53"/>
        <v>16528.61979</v>
      </c>
      <c r="O192" s="29">
        <f t="shared" si="53"/>
        <v>24476.11979</v>
      </c>
      <c r="P192" s="29">
        <f t="shared" si="53"/>
        <v>32664.45313</v>
      </c>
      <c r="Q192" s="29">
        <f t="shared" si="53"/>
        <v>32664.45313</v>
      </c>
      <c r="R192" s="29">
        <f t="shared" si="53"/>
        <v>32664.45313</v>
      </c>
      <c r="S192" s="29">
        <f t="shared" si="53"/>
        <v>32664.45313</v>
      </c>
      <c r="T192" s="29">
        <f t="shared" si="53"/>
        <v>32664.45313</v>
      </c>
      <c r="U192" s="29">
        <f t="shared" si="53"/>
        <v>32664.45313</v>
      </c>
      <c r="V192" s="29">
        <f t="shared" si="53"/>
        <v>32664.45313</v>
      </c>
      <c r="W192" s="29">
        <f t="shared" si="53"/>
        <v>32664.45313</v>
      </c>
      <c r="X192" s="29">
        <f t="shared" si="53"/>
        <v>32664.45313</v>
      </c>
      <c r="Y192" s="29">
        <f t="shared" si="53"/>
        <v>32664.45313</v>
      </c>
      <c r="Z192" s="29">
        <f t="shared" si="53"/>
        <v>34711.53646</v>
      </c>
      <c r="AA192" s="29">
        <f t="shared" si="53"/>
        <v>39419.82813</v>
      </c>
      <c r="AB192" s="29">
        <f t="shared" si="53"/>
        <v>46175.20313</v>
      </c>
      <c r="AC192" s="29">
        <f t="shared" si="53"/>
        <v>53135.28646</v>
      </c>
      <c r="AD192" s="29">
        <f t="shared" si="53"/>
        <v>53135.28646</v>
      </c>
      <c r="AE192" s="29">
        <f t="shared" si="53"/>
        <v>53135.28646</v>
      </c>
      <c r="AF192" s="29">
        <f t="shared" si="53"/>
        <v>53135.28646</v>
      </c>
      <c r="AG192" s="29">
        <f t="shared" si="53"/>
        <v>53135.28646</v>
      </c>
      <c r="AH192" s="29">
        <f t="shared" si="53"/>
        <v>53135.28646</v>
      </c>
      <c r="AI192" s="29">
        <f t="shared" si="53"/>
        <v>53135.28646</v>
      </c>
      <c r="AJ192" s="29">
        <f t="shared" si="53"/>
        <v>53135.28646</v>
      </c>
      <c r="AK192" s="29">
        <f t="shared" si="53"/>
        <v>53135.28646</v>
      </c>
    </row>
    <row r="193" ht="13.5" customHeight="1">
      <c r="A193" s="27" t="s">
        <v>123</v>
      </c>
      <c r="B193" s="29">
        <f t="shared" ref="B193:AK193" si="54">B188-B82</f>
        <v>-9266.888021</v>
      </c>
      <c r="C193" s="29">
        <f t="shared" si="54"/>
        <v>-12597.61849</v>
      </c>
      <c r="D193" s="29">
        <f t="shared" si="54"/>
        <v>-9200.746094</v>
      </c>
      <c r="E193" s="29">
        <f t="shared" si="54"/>
        <v>-619.6263021</v>
      </c>
      <c r="F193" s="29">
        <f t="shared" si="54"/>
        <v>7961.49349</v>
      </c>
      <c r="G193" s="29">
        <f t="shared" si="54"/>
        <v>16542.61328</v>
      </c>
      <c r="H193" s="29">
        <f t="shared" si="54"/>
        <v>25123.73307</v>
      </c>
      <c r="I193" s="29">
        <f t="shared" si="54"/>
        <v>33704.85286</v>
      </c>
      <c r="J193" s="29">
        <f t="shared" si="54"/>
        <v>42285.97266</v>
      </c>
      <c r="K193" s="29">
        <f t="shared" si="54"/>
        <v>50867.09245</v>
      </c>
      <c r="L193" s="29">
        <f t="shared" si="54"/>
        <v>59448.21224</v>
      </c>
      <c r="M193" s="29">
        <f t="shared" si="54"/>
        <v>70437.66536</v>
      </c>
      <c r="N193" s="29">
        <f t="shared" si="54"/>
        <v>86966.28516</v>
      </c>
      <c r="O193" s="29">
        <f t="shared" si="54"/>
        <v>111442.4049</v>
      </c>
      <c r="P193" s="29">
        <f t="shared" si="54"/>
        <v>144106.8581</v>
      </c>
      <c r="Q193" s="29">
        <f t="shared" si="54"/>
        <v>176771.3112</v>
      </c>
      <c r="R193" s="29">
        <f t="shared" si="54"/>
        <v>209435.7643</v>
      </c>
      <c r="S193" s="29">
        <f t="shared" si="54"/>
        <v>242100.2174</v>
      </c>
      <c r="T193" s="29">
        <f t="shared" si="54"/>
        <v>274764.6706</v>
      </c>
      <c r="U193" s="29">
        <f t="shared" si="54"/>
        <v>307429.1237</v>
      </c>
      <c r="V193" s="29">
        <f t="shared" si="54"/>
        <v>340093.5768</v>
      </c>
      <c r="W193" s="29">
        <f t="shared" si="54"/>
        <v>372758.0299</v>
      </c>
      <c r="X193" s="29">
        <f t="shared" si="54"/>
        <v>405422.4831</v>
      </c>
      <c r="Y193" s="29">
        <f t="shared" si="54"/>
        <v>438086.9362</v>
      </c>
      <c r="Z193" s="29">
        <f t="shared" si="54"/>
        <v>472798.4727</v>
      </c>
      <c r="AA193" s="29">
        <f t="shared" si="54"/>
        <v>512218.3008</v>
      </c>
      <c r="AB193" s="29">
        <f t="shared" si="54"/>
        <v>558393.5039</v>
      </c>
      <c r="AC193" s="29">
        <f t="shared" si="54"/>
        <v>611528.7904</v>
      </c>
      <c r="AD193" s="29">
        <f t="shared" si="54"/>
        <v>664664.0768</v>
      </c>
      <c r="AE193" s="29">
        <f t="shared" si="54"/>
        <v>717799.3633</v>
      </c>
      <c r="AF193" s="29">
        <f t="shared" si="54"/>
        <v>770934.6497</v>
      </c>
      <c r="AG193" s="29">
        <f t="shared" si="54"/>
        <v>824069.9362</v>
      </c>
      <c r="AH193" s="29">
        <f t="shared" si="54"/>
        <v>877205.2227</v>
      </c>
      <c r="AI193" s="29">
        <f t="shared" si="54"/>
        <v>930340.5091</v>
      </c>
      <c r="AJ193" s="29">
        <f t="shared" si="54"/>
        <v>983475.7956</v>
      </c>
      <c r="AK193" s="29">
        <f t="shared" si="54"/>
        <v>1036611.082</v>
      </c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ht="16.5" customHeight="1">
      <c r="A211" s="64" t="s">
        <v>124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ht="18.0" customHeight="1">
      <c r="A212" s="86" t="s">
        <v>49</v>
      </c>
      <c r="B212" s="65" t="s">
        <v>50</v>
      </c>
      <c r="C212" s="65" t="s">
        <v>51</v>
      </c>
      <c r="D212" s="65" t="s">
        <v>52</v>
      </c>
      <c r="E212" s="65" t="s">
        <v>53</v>
      </c>
      <c r="F212" s="65" t="s">
        <v>54</v>
      </c>
      <c r="G212" s="65" t="s">
        <v>55</v>
      </c>
      <c r="H212" s="65" t="s">
        <v>56</v>
      </c>
      <c r="I212" s="65" t="s">
        <v>57</v>
      </c>
      <c r="J212" s="65" t="s">
        <v>58</v>
      </c>
      <c r="K212" s="65" t="s">
        <v>59</v>
      </c>
      <c r="L212" s="65" t="s">
        <v>60</v>
      </c>
      <c r="M212" s="65" t="s">
        <v>61</v>
      </c>
      <c r="N212" s="65" t="s">
        <v>62</v>
      </c>
      <c r="O212" s="65" t="s">
        <v>63</v>
      </c>
      <c r="P212" s="65" t="s">
        <v>64</v>
      </c>
      <c r="Q212" s="65" t="s">
        <v>65</v>
      </c>
      <c r="R212" s="65" t="s">
        <v>66</v>
      </c>
      <c r="S212" s="65" t="s">
        <v>67</v>
      </c>
      <c r="T212" s="65" t="s">
        <v>68</v>
      </c>
      <c r="U212" s="65" t="s">
        <v>69</v>
      </c>
      <c r="V212" s="65" t="s">
        <v>70</v>
      </c>
      <c r="W212" s="65" t="s">
        <v>71</v>
      </c>
      <c r="X212" s="65" t="s">
        <v>72</v>
      </c>
      <c r="Y212" s="65" t="s">
        <v>73</v>
      </c>
      <c r="Z212" s="65" t="s">
        <v>74</v>
      </c>
      <c r="AA212" s="65" t="s">
        <v>75</v>
      </c>
      <c r="AB212" s="65" t="s">
        <v>76</v>
      </c>
      <c r="AC212" s="65" t="s">
        <v>77</v>
      </c>
      <c r="AD212" s="65" t="s">
        <v>78</v>
      </c>
      <c r="AE212" s="65" t="s">
        <v>79</v>
      </c>
      <c r="AF212" s="65" t="s">
        <v>80</v>
      </c>
      <c r="AG212" s="65" t="s">
        <v>81</v>
      </c>
      <c r="AH212" s="65" t="s">
        <v>82</v>
      </c>
      <c r="AI212" s="65" t="s">
        <v>83</v>
      </c>
      <c r="AJ212" s="65" t="s">
        <v>84</v>
      </c>
      <c r="AK212" s="65" t="s">
        <v>85</v>
      </c>
    </row>
    <row r="213" ht="15.0" customHeight="1">
      <c r="A213" s="66" t="s">
        <v>86</v>
      </c>
      <c r="B213" s="29">
        <f t="shared" ref="B213:AK213" si="55">B126</f>
        <v>7083.333333</v>
      </c>
      <c r="C213" s="29">
        <f t="shared" si="55"/>
        <v>30458.33333</v>
      </c>
      <c r="D213" s="29">
        <f t="shared" si="55"/>
        <v>77208.33333</v>
      </c>
      <c r="E213" s="29">
        <f t="shared" si="55"/>
        <v>148041.6667</v>
      </c>
      <c r="F213" s="29">
        <f t="shared" si="55"/>
        <v>218875</v>
      </c>
      <c r="G213" s="29">
        <f t="shared" si="55"/>
        <v>289708.3333</v>
      </c>
      <c r="H213" s="29">
        <f t="shared" si="55"/>
        <v>360541.6667</v>
      </c>
      <c r="I213" s="29">
        <f t="shared" si="55"/>
        <v>431375</v>
      </c>
      <c r="J213" s="29">
        <f t="shared" si="55"/>
        <v>502208.3333</v>
      </c>
      <c r="K213" s="29">
        <f t="shared" si="55"/>
        <v>573041.6667</v>
      </c>
      <c r="L213" s="29">
        <f t="shared" si="55"/>
        <v>643875</v>
      </c>
      <c r="M213" s="29">
        <f t="shared" si="55"/>
        <v>714708.3333</v>
      </c>
      <c r="N213" s="29">
        <f t="shared" si="55"/>
        <v>785541.6667</v>
      </c>
      <c r="O213" s="29">
        <f t="shared" si="55"/>
        <v>856375</v>
      </c>
      <c r="P213" s="29">
        <f t="shared" si="55"/>
        <v>927208.3333</v>
      </c>
      <c r="Q213" s="29">
        <f t="shared" si="55"/>
        <v>998041.6667</v>
      </c>
      <c r="R213" s="29">
        <f t="shared" si="55"/>
        <v>1068875</v>
      </c>
      <c r="S213" s="29">
        <f t="shared" si="55"/>
        <v>1139708.333</v>
      </c>
      <c r="T213" s="29">
        <f t="shared" si="55"/>
        <v>1210541.667</v>
      </c>
      <c r="U213" s="29">
        <f t="shared" si="55"/>
        <v>1281375</v>
      </c>
      <c r="V213" s="29">
        <f t="shared" si="55"/>
        <v>1352208.333</v>
      </c>
      <c r="W213" s="29">
        <f t="shared" si="55"/>
        <v>1423041.667</v>
      </c>
      <c r="X213" s="29">
        <f t="shared" si="55"/>
        <v>1493875</v>
      </c>
      <c r="Y213" s="29">
        <f t="shared" si="55"/>
        <v>1564708.333</v>
      </c>
      <c r="Z213" s="29">
        <f t="shared" si="55"/>
        <v>1635541.667</v>
      </c>
      <c r="AA213" s="29">
        <f t="shared" si="55"/>
        <v>1706375</v>
      </c>
      <c r="AB213" s="29">
        <f t="shared" si="55"/>
        <v>1777208.333</v>
      </c>
      <c r="AC213" s="29">
        <f t="shared" si="55"/>
        <v>1848041.667</v>
      </c>
      <c r="AD213" s="29">
        <f t="shared" si="55"/>
        <v>1918875</v>
      </c>
      <c r="AE213" s="29">
        <f t="shared" si="55"/>
        <v>1989708.333</v>
      </c>
      <c r="AF213" s="29">
        <f t="shared" si="55"/>
        <v>2060541.667</v>
      </c>
      <c r="AG213" s="29">
        <f t="shared" si="55"/>
        <v>2131375</v>
      </c>
      <c r="AH213" s="29">
        <f t="shared" si="55"/>
        <v>2202208.333</v>
      </c>
      <c r="AI213" s="29">
        <f t="shared" si="55"/>
        <v>2273041.667</v>
      </c>
      <c r="AJ213" s="29">
        <f t="shared" si="55"/>
        <v>2343875</v>
      </c>
      <c r="AK213" s="29">
        <f t="shared" si="55"/>
        <v>2414708.333</v>
      </c>
    </row>
    <row r="214" ht="13.5" customHeight="1">
      <c r="A214" s="70" t="s">
        <v>125</v>
      </c>
      <c r="B214" s="71">
        <f t="shared" ref="B214:M214" si="56">B213</f>
        <v>7083.333333</v>
      </c>
      <c r="C214" s="71">
        <f t="shared" si="56"/>
        <v>30458.33333</v>
      </c>
      <c r="D214" s="71">
        <f t="shared" si="56"/>
        <v>77208.33333</v>
      </c>
      <c r="E214" s="71">
        <f t="shared" si="56"/>
        <v>148041.6667</v>
      </c>
      <c r="F214" s="71">
        <f t="shared" si="56"/>
        <v>218875</v>
      </c>
      <c r="G214" s="71">
        <f t="shared" si="56"/>
        <v>289708.3333</v>
      </c>
      <c r="H214" s="71">
        <f t="shared" si="56"/>
        <v>360541.6667</v>
      </c>
      <c r="I214" s="71">
        <f t="shared" si="56"/>
        <v>431375</v>
      </c>
      <c r="J214" s="71">
        <f t="shared" si="56"/>
        <v>502208.3333</v>
      </c>
      <c r="K214" s="71">
        <f t="shared" si="56"/>
        <v>573041.6667</v>
      </c>
      <c r="L214" s="71">
        <f t="shared" si="56"/>
        <v>643875</v>
      </c>
      <c r="M214" s="71">
        <f t="shared" si="56"/>
        <v>714708.3333</v>
      </c>
      <c r="N214" s="71">
        <f t="shared" ref="N214:AK214" si="57">N213+B214*12*$B$47</f>
        <v>786604.1667</v>
      </c>
      <c r="O214" s="71">
        <f t="shared" si="57"/>
        <v>860943.75</v>
      </c>
      <c r="P214" s="71">
        <f t="shared" si="57"/>
        <v>938789.5833</v>
      </c>
      <c r="Q214" s="71">
        <f t="shared" si="57"/>
        <v>1020247.917</v>
      </c>
      <c r="R214" s="71">
        <f t="shared" si="57"/>
        <v>1101706.25</v>
      </c>
      <c r="S214" s="71">
        <f t="shared" si="57"/>
        <v>1183164.583</v>
      </c>
      <c r="T214" s="71">
        <f t="shared" si="57"/>
        <v>1264622.917</v>
      </c>
      <c r="U214" s="71">
        <f t="shared" si="57"/>
        <v>1346081.25</v>
      </c>
      <c r="V214" s="71">
        <f t="shared" si="57"/>
        <v>1427539.583</v>
      </c>
      <c r="W214" s="71">
        <f t="shared" si="57"/>
        <v>1508997.917</v>
      </c>
      <c r="X214" s="71">
        <f t="shared" si="57"/>
        <v>1590456.25</v>
      </c>
      <c r="Y214" s="71">
        <f t="shared" si="57"/>
        <v>1671914.583</v>
      </c>
      <c r="Z214" s="71">
        <f t="shared" si="57"/>
        <v>1753532.292</v>
      </c>
      <c r="AA214" s="71">
        <f t="shared" si="57"/>
        <v>1835516.563</v>
      </c>
      <c r="AB214" s="71">
        <f t="shared" si="57"/>
        <v>1918026.771</v>
      </c>
      <c r="AC214" s="71">
        <f t="shared" si="57"/>
        <v>2001078.854</v>
      </c>
      <c r="AD214" s="71">
        <f t="shared" si="57"/>
        <v>2084130.938</v>
      </c>
      <c r="AE214" s="71">
        <f t="shared" si="57"/>
        <v>2167183.021</v>
      </c>
      <c r="AF214" s="71">
        <f t="shared" si="57"/>
        <v>2250235.104</v>
      </c>
      <c r="AG214" s="71">
        <f t="shared" si="57"/>
        <v>2333287.188</v>
      </c>
      <c r="AH214" s="71">
        <f t="shared" si="57"/>
        <v>2416339.271</v>
      </c>
      <c r="AI214" s="71">
        <f t="shared" si="57"/>
        <v>2499391.354</v>
      </c>
      <c r="AJ214" s="71">
        <f t="shared" si="57"/>
        <v>2582443.438</v>
      </c>
      <c r="AK214" s="71">
        <f t="shared" si="57"/>
        <v>2665495.521</v>
      </c>
    </row>
    <row r="215" ht="15.0" customHeight="1">
      <c r="A215" s="72" t="s">
        <v>91</v>
      </c>
      <c r="B215" s="73">
        <f>B214</f>
        <v>7083.333333</v>
      </c>
      <c r="C215" s="73">
        <f t="shared" ref="C215:AK215" si="58">B215+C214</f>
        <v>37541.66667</v>
      </c>
      <c r="D215" s="73">
        <f t="shared" si="58"/>
        <v>114750</v>
      </c>
      <c r="E215" s="73">
        <f t="shared" si="58"/>
        <v>262791.6667</v>
      </c>
      <c r="F215" s="73">
        <f t="shared" si="58"/>
        <v>481666.6667</v>
      </c>
      <c r="G215" s="73">
        <f t="shared" si="58"/>
        <v>771375</v>
      </c>
      <c r="H215" s="73">
        <f t="shared" si="58"/>
        <v>1131916.667</v>
      </c>
      <c r="I215" s="73">
        <f t="shared" si="58"/>
        <v>1563291.667</v>
      </c>
      <c r="J215" s="73">
        <f t="shared" si="58"/>
        <v>2065500</v>
      </c>
      <c r="K215" s="73">
        <f t="shared" si="58"/>
        <v>2638541.667</v>
      </c>
      <c r="L215" s="73">
        <f t="shared" si="58"/>
        <v>3282416.667</v>
      </c>
      <c r="M215" s="73">
        <f t="shared" si="58"/>
        <v>3997125</v>
      </c>
      <c r="N215" s="73">
        <f t="shared" si="58"/>
        <v>4783729.167</v>
      </c>
      <c r="O215" s="73">
        <f t="shared" si="58"/>
        <v>5644672.917</v>
      </c>
      <c r="P215" s="73">
        <f t="shared" si="58"/>
        <v>6583462.5</v>
      </c>
      <c r="Q215" s="73">
        <f t="shared" si="58"/>
        <v>7603710.417</v>
      </c>
      <c r="R215" s="73">
        <f t="shared" si="58"/>
        <v>8705416.667</v>
      </c>
      <c r="S215" s="73">
        <f t="shared" si="58"/>
        <v>9888581.25</v>
      </c>
      <c r="T215" s="73">
        <f t="shared" si="58"/>
        <v>11153204.17</v>
      </c>
      <c r="U215" s="73">
        <f t="shared" si="58"/>
        <v>12499285.42</v>
      </c>
      <c r="V215" s="73">
        <f t="shared" si="58"/>
        <v>13926825</v>
      </c>
      <c r="W215" s="73">
        <f t="shared" si="58"/>
        <v>15435822.92</v>
      </c>
      <c r="X215" s="73">
        <f t="shared" si="58"/>
        <v>17026279.17</v>
      </c>
      <c r="Y215" s="73">
        <f t="shared" si="58"/>
        <v>18698193.75</v>
      </c>
      <c r="Z215" s="73">
        <f t="shared" si="58"/>
        <v>20451726.04</v>
      </c>
      <c r="AA215" s="73">
        <f t="shared" si="58"/>
        <v>22287242.6</v>
      </c>
      <c r="AB215" s="73">
        <f t="shared" si="58"/>
        <v>24205269.38</v>
      </c>
      <c r="AC215" s="73">
        <f t="shared" si="58"/>
        <v>26206348.23</v>
      </c>
      <c r="AD215" s="73">
        <f t="shared" si="58"/>
        <v>28290479.17</v>
      </c>
      <c r="AE215" s="73">
        <f t="shared" si="58"/>
        <v>30457662.19</v>
      </c>
      <c r="AF215" s="73">
        <f t="shared" si="58"/>
        <v>32707897.29</v>
      </c>
      <c r="AG215" s="73">
        <f t="shared" si="58"/>
        <v>35041184.48</v>
      </c>
      <c r="AH215" s="73">
        <f t="shared" si="58"/>
        <v>37457523.75</v>
      </c>
      <c r="AI215" s="73">
        <f t="shared" si="58"/>
        <v>39956915.1</v>
      </c>
      <c r="AJ215" s="73">
        <f t="shared" si="58"/>
        <v>42539358.54</v>
      </c>
      <c r="AK215" s="73">
        <f t="shared" si="58"/>
        <v>45204854.06</v>
      </c>
    </row>
    <row r="216" ht="15.0" customHeight="1">
      <c r="A216" s="74" t="s">
        <v>92</v>
      </c>
      <c r="B216" s="75">
        <f t="shared" ref="B216:AK216" si="59">$B$48*B215</f>
        <v>5666.666667</v>
      </c>
      <c r="C216" s="75">
        <f t="shared" si="59"/>
        <v>30033.33333</v>
      </c>
      <c r="D216" s="75">
        <f t="shared" si="59"/>
        <v>91800</v>
      </c>
      <c r="E216" s="75">
        <f t="shared" si="59"/>
        <v>210233.3333</v>
      </c>
      <c r="F216" s="75">
        <f t="shared" si="59"/>
        <v>385333.3333</v>
      </c>
      <c r="G216" s="75">
        <f t="shared" si="59"/>
        <v>617100</v>
      </c>
      <c r="H216" s="75">
        <f t="shared" si="59"/>
        <v>905533.3333</v>
      </c>
      <c r="I216" s="75">
        <f t="shared" si="59"/>
        <v>1250633.333</v>
      </c>
      <c r="J216" s="75">
        <f t="shared" si="59"/>
        <v>1652400</v>
      </c>
      <c r="K216" s="75">
        <f t="shared" si="59"/>
        <v>2110833.333</v>
      </c>
      <c r="L216" s="75">
        <f t="shared" si="59"/>
        <v>2625933.333</v>
      </c>
      <c r="M216" s="75">
        <f t="shared" si="59"/>
        <v>3197700</v>
      </c>
      <c r="N216" s="75">
        <f t="shared" si="59"/>
        <v>3826983.333</v>
      </c>
      <c r="O216" s="75">
        <f t="shared" si="59"/>
        <v>4515738.333</v>
      </c>
      <c r="P216" s="75">
        <f t="shared" si="59"/>
        <v>5266770</v>
      </c>
      <c r="Q216" s="75">
        <f t="shared" si="59"/>
        <v>6082968.333</v>
      </c>
      <c r="R216" s="75">
        <f t="shared" si="59"/>
        <v>6964333.333</v>
      </c>
      <c r="S216" s="75">
        <f t="shared" si="59"/>
        <v>7910865</v>
      </c>
      <c r="T216" s="75">
        <f t="shared" si="59"/>
        <v>8922563.333</v>
      </c>
      <c r="U216" s="75">
        <f t="shared" si="59"/>
        <v>9999428.333</v>
      </c>
      <c r="V216" s="75">
        <f t="shared" si="59"/>
        <v>11141460</v>
      </c>
      <c r="W216" s="75">
        <f t="shared" si="59"/>
        <v>12348658.33</v>
      </c>
      <c r="X216" s="75">
        <f t="shared" si="59"/>
        <v>13621023.33</v>
      </c>
      <c r="Y216" s="75">
        <f t="shared" si="59"/>
        <v>14958555</v>
      </c>
      <c r="Z216" s="75">
        <f t="shared" si="59"/>
        <v>16361380.83</v>
      </c>
      <c r="AA216" s="75">
        <f t="shared" si="59"/>
        <v>17829794.08</v>
      </c>
      <c r="AB216" s="75">
        <f t="shared" si="59"/>
        <v>19364215.5</v>
      </c>
      <c r="AC216" s="75">
        <f t="shared" si="59"/>
        <v>20965078.58</v>
      </c>
      <c r="AD216" s="75">
        <f t="shared" si="59"/>
        <v>22632383.33</v>
      </c>
      <c r="AE216" s="75">
        <f t="shared" si="59"/>
        <v>24366129.75</v>
      </c>
      <c r="AF216" s="75">
        <f t="shared" si="59"/>
        <v>26166317.83</v>
      </c>
      <c r="AG216" s="75">
        <f t="shared" si="59"/>
        <v>28032947.58</v>
      </c>
      <c r="AH216" s="75">
        <f t="shared" si="59"/>
        <v>29966019</v>
      </c>
      <c r="AI216" s="75">
        <f t="shared" si="59"/>
        <v>31965532.08</v>
      </c>
      <c r="AJ216" s="75">
        <f t="shared" si="59"/>
        <v>34031486.83</v>
      </c>
      <c r="AK216" s="75">
        <f t="shared" si="59"/>
        <v>36163883.25</v>
      </c>
    </row>
    <row r="217" ht="13.5" customHeight="1">
      <c r="A217" s="27" t="s">
        <v>116</v>
      </c>
      <c r="B217" s="29">
        <f>B214</f>
        <v>7083.333333</v>
      </c>
      <c r="C217" s="29">
        <f t="shared" ref="C217:AK217" si="60">C214-B214</f>
        <v>23375</v>
      </c>
      <c r="D217" s="29">
        <f t="shared" si="60"/>
        <v>46750</v>
      </c>
      <c r="E217" s="29">
        <f t="shared" si="60"/>
        <v>70833.33333</v>
      </c>
      <c r="F217" s="29">
        <f t="shared" si="60"/>
        <v>70833.33333</v>
      </c>
      <c r="G217" s="29">
        <f t="shared" si="60"/>
        <v>70833.33333</v>
      </c>
      <c r="H217" s="29">
        <f t="shared" si="60"/>
        <v>70833.33333</v>
      </c>
      <c r="I217" s="29">
        <f t="shared" si="60"/>
        <v>70833.33333</v>
      </c>
      <c r="J217" s="29">
        <f t="shared" si="60"/>
        <v>70833.33333</v>
      </c>
      <c r="K217" s="29">
        <f t="shared" si="60"/>
        <v>70833.33333</v>
      </c>
      <c r="L217" s="29">
        <f t="shared" si="60"/>
        <v>70833.33333</v>
      </c>
      <c r="M217" s="29">
        <f t="shared" si="60"/>
        <v>70833.33333</v>
      </c>
      <c r="N217" s="29">
        <f t="shared" si="60"/>
        <v>71895.83333</v>
      </c>
      <c r="O217" s="29">
        <f t="shared" si="60"/>
        <v>74339.58333</v>
      </c>
      <c r="P217" s="29">
        <f t="shared" si="60"/>
        <v>77845.83333</v>
      </c>
      <c r="Q217" s="29">
        <f t="shared" si="60"/>
        <v>81458.33333</v>
      </c>
      <c r="R217" s="29">
        <f t="shared" si="60"/>
        <v>81458.33333</v>
      </c>
      <c r="S217" s="29">
        <f t="shared" si="60"/>
        <v>81458.33333</v>
      </c>
      <c r="T217" s="29">
        <f t="shared" si="60"/>
        <v>81458.33333</v>
      </c>
      <c r="U217" s="29">
        <f t="shared" si="60"/>
        <v>81458.33333</v>
      </c>
      <c r="V217" s="29">
        <f t="shared" si="60"/>
        <v>81458.33333</v>
      </c>
      <c r="W217" s="29">
        <f t="shared" si="60"/>
        <v>81458.33333</v>
      </c>
      <c r="X217" s="29">
        <f t="shared" si="60"/>
        <v>81458.33333</v>
      </c>
      <c r="Y217" s="29">
        <f t="shared" si="60"/>
        <v>81458.33333</v>
      </c>
      <c r="Z217" s="29">
        <f t="shared" si="60"/>
        <v>81617.70833</v>
      </c>
      <c r="AA217" s="29">
        <f t="shared" si="60"/>
        <v>81984.27083</v>
      </c>
      <c r="AB217" s="29">
        <f t="shared" si="60"/>
        <v>82510.20833</v>
      </c>
      <c r="AC217" s="29">
        <f t="shared" si="60"/>
        <v>83052.08333</v>
      </c>
      <c r="AD217" s="29">
        <f t="shared" si="60"/>
        <v>83052.08333</v>
      </c>
      <c r="AE217" s="29">
        <f t="shared" si="60"/>
        <v>83052.08333</v>
      </c>
      <c r="AF217" s="29">
        <f t="shared" si="60"/>
        <v>83052.08333</v>
      </c>
      <c r="AG217" s="29">
        <f t="shared" si="60"/>
        <v>83052.08333</v>
      </c>
      <c r="AH217" s="29">
        <f t="shared" si="60"/>
        <v>83052.08333</v>
      </c>
      <c r="AI217" s="29">
        <f t="shared" si="60"/>
        <v>83052.08333</v>
      </c>
      <c r="AJ217" s="29">
        <f t="shared" si="60"/>
        <v>83052.08333</v>
      </c>
      <c r="AK217" s="29">
        <f t="shared" si="60"/>
        <v>83052.08333</v>
      </c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ht="16.5" customHeight="1">
      <c r="A220" s="64" t="s">
        <v>99</v>
      </c>
      <c r="B220" s="65" t="s">
        <v>50</v>
      </c>
      <c r="C220" s="65" t="s">
        <v>51</v>
      </c>
      <c r="D220" s="65" t="s">
        <v>52</v>
      </c>
      <c r="E220" s="65" t="s">
        <v>53</v>
      </c>
      <c r="F220" s="65" t="s">
        <v>54</v>
      </c>
      <c r="G220" s="65" t="s">
        <v>55</v>
      </c>
      <c r="H220" s="65" t="s">
        <v>56</v>
      </c>
      <c r="I220" s="65" t="s">
        <v>57</v>
      </c>
      <c r="J220" s="65" t="s">
        <v>58</v>
      </c>
      <c r="K220" s="65" t="s">
        <v>59</v>
      </c>
      <c r="L220" s="65" t="s">
        <v>60</v>
      </c>
      <c r="M220" s="65" t="s">
        <v>61</v>
      </c>
      <c r="N220" s="65" t="s">
        <v>62</v>
      </c>
      <c r="O220" s="65" t="s">
        <v>63</v>
      </c>
      <c r="P220" s="65" t="s">
        <v>64</v>
      </c>
      <c r="Q220" s="65" t="s">
        <v>65</v>
      </c>
      <c r="R220" s="65" t="s">
        <v>66</v>
      </c>
      <c r="S220" s="65" t="s">
        <v>67</v>
      </c>
      <c r="T220" s="65" t="s">
        <v>68</v>
      </c>
      <c r="U220" s="65" t="s">
        <v>69</v>
      </c>
      <c r="V220" s="65" t="s">
        <v>70</v>
      </c>
      <c r="W220" s="65" t="s">
        <v>71</v>
      </c>
      <c r="X220" s="65" t="s">
        <v>72</v>
      </c>
      <c r="Y220" s="65" t="s">
        <v>73</v>
      </c>
      <c r="Z220" s="65" t="s">
        <v>74</v>
      </c>
      <c r="AA220" s="65" t="s">
        <v>75</v>
      </c>
      <c r="AB220" s="65" t="s">
        <v>76</v>
      </c>
      <c r="AC220" s="65" t="s">
        <v>77</v>
      </c>
      <c r="AD220" s="65" t="s">
        <v>78</v>
      </c>
      <c r="AE220" s="65" t="s">
        <v>79</v>
      </c>
      <c r="AF220" s="65" t="s">
        <v>80</v>
      </c>
      <c r="AG220" s="65" t="s">
        <v>81</v>
      </c>
      <c r="AH220" s="65" t="s">
        <v>82</v>
      </c>
      <c r="AI220" s="65" t="s">
        <v>83</v>
      </c>
      <c r="AJ220" s="65" t="s">
        <v>84</v>
      </c>
      <c r="AK220" s="65" t="s">
        <v>85</v>
      </c>
    </row>
    <row r="221" ht="15.0" customHeight="1">
      <c r="A221" s="66" t="s">
        <v>122</v>
      </c>
      <c r="B221" s="29">
        <f t="shared" ref="B221:AK221" si="61">B214*$B$48-B81</f>
        <v>-6433.554688</v>
      </c>
      <c r="C221" s="29">
        <f t="shared" si="61"/>
        <v>11685.9362</v>
      </c>
      <c r="D221" s="29">
        <f t="shared" si="61"/>
        <v>46463.53906</v>
      </c>
      <c r="E221" s="29">
        <f t="shared" si="61"/>
        <v>98681.11979</v>
      </c>
      <c r="F221" s="29">
        <f t="shared" si="61"/>
        <v>155347.7865</v>
      </c>
      <c r="G221" s="29">
        <f t="shared" si="61"/>
        <v>212014.4531</v>
      </c>
      <c r="H221" s="29">
        <f t="shared" si="61"/>
        <v>268681.1198</v>
      </c>
      <c r="I221" s="29">
        <f t="shared" si="61"/>
        <v>325347.7865</v>
      </c>
      <c r="J221" s="29">
        <f t="shared" si="61"/>
        <v>382014.4531</v>
      </c>
      <c r="K221" s="29">
        <f t="shared" si="61"/>
        <v>438681.1198</v>
      </c>
      <c r="L221" s="29">
        <f t="shared" si="61"/>
        <v>495347.7865</v>
      </c>
      <c r="M221" s="29">
        <f t="shared" si="61"/>
        <v>552014.4531</v>
      </c>
      <c r="N221" s="29">
        <f t="shared" si="61"/>
        <v>609531.1198</v>
      </c>
      <c r="O221" s="29">
        <f t="shared" si="61"/>
        <v>669002.7865</v>
      </c>
      <c r="P221" s="29">
        <f t="shared" si="61"/>
        <v>731279.4531</v>
      </c>
      <c r="Q221" s="29">
        <f t="shared" si="61"/>
        <v>796446.1198</v>
      </c>
      <c r="R221" s="29">
        <f t="shared" si="61"/>
        <v>861612.7865</v>
      </c>
      <c r="S221" s="29">
        <f t="shared" si="61"/>
        <v>926779.4531</v>
      </c>
      <c r="T221" s="29">
        <f t="shared" si="61"/>
        <v>991946.1198</v>
      </c>
      <c r="U221" s="29">
        <f t="shared" si="61"/>
        <v>1057112.786</v>
      </c>
      <c r="V221" s="29">
        <f t="shared" si="61"/>
        <v>1122279.453</v>
      </c>
      <c r="W221" s="29">
        <f t="shared" si="61"/>
        <v>1187446.12</v>
      </c>
      <c r="X221" s="29">
        <f t="shared" si="61"/>
        <v>1252612.786</v>
      </c>
      <c r="Y221" s="29">
        <f t="shared" si="61"/>
        <v>1317779.453</v>
      </c>
      <c r="Z221" s="29">
        <f t="shared" si="61"/>
        <v>1383073.62</v>
      </c>
      <c r="AA221" s="29">
        <f t="shared" si="61"/>
        <v>1448661.036</v>
      </c>
      <c r="AB221" s="29">
        <f t="shared" si="61"/>
        <v>1514669.203</v>
      </c>
      <c r="AC221" s="29">
        <f t="shared" si="61"/>
        <v>1581110.87</v>
      </c>
      <c r="AD221" s="29">
        <f t="shared" si="61"/>
        <v>1647552.536</v>
      </c>
      <c r="AE221" s="29">
        <f t="shared" si="61"/>
        <v>1713994.203</v>
      </c>
      <c r="AF221" s="29">
        <f t="shared" si="61"/>
        <v>1780435.87</v>
      </c>
      <c r="AG221" s="29">
        <f t="shared" si="61"/>
        <v>1846877.536</v>
      </c>
      <c r="AH221" s="29">
        <f t="shared" si="61"/>
        <v>1913319.203</v>
      </c>
      <c r="AI221" s="29">
        <f t="shared" si="61"/>
        <v>1979760.87</v>
      </c>
      <c r="AJ221" s="29">
        <f t="shared" si="61"/>
        <v>2046202.536</v>
      </c>
      <c r="AK221" s="29">
        <f t="shared" si="61"/>
        <v>2112644.203</v>
      </c>
    </row>
    <row r="222" ht="13.5" customHeight="1">
      <c r="A222" s="27" t="s">
        <v>123</v>
      </c>
      <c r="B222" s="29">
        <f t="shared" ref="B222:AK222" si="62">B216-B137</f>
        <v>-18533.77604</v>
      </c>
      <c r="C222" s="29">
        <f t="shared" si="62"/>
        <v>-19528.57031</v>
      </c>
      <c r="D222" s="29">
        <f t="shared" si="62"/>
        <v>11631.84115</v>
      </c>
      <c r="E222" s="29">
        <f t="shared" si="62"/>
        <v>90560.7474</v>
      </c>
      <c r="F222" s="29">
        <f t="shared" si="62"/>
        <v>226156.3203</v>
      </c>
      <c r="G222" s="29">
        <f t="shared" si="62"/>
        <v>418418.5599</v>
      </c>
      <c r="H222" s="29">
        <f t="shared" si="62"/>
        <v>667347.4661</v>
      </c>
      <c r="I222" s="29">
        <f t="shared" si="62"/>
        <v>972943.0391</v>
      </c>
      <c r="J222" s="29">
        <f t="shared" si="62"/>
        <v>1335205.279</v>
      </c>
      <c r="K222" s="29">
        <f t="shared" si="62"/>
        <v>1754134.185</v>
      </c>
      <c r="L222" s="29">
        <f t="shared" si="62"/>
        <v>2229729.758</v>
      </c>
      <c r="M222" s="29">
        <f t="shared" si="62"/>
        <v>2761991.997</v>
      </c>
      <c r="N222" s="29">
        <f t="shared" si="62"/>
        <v>3351770.904</v>
      </c>
      <c r="O222" s="29">
        <f t="shared" si="62"/>
        <v>4001021.477</v>
      </c>
      <c r="P222" s="29">
        <f t="shared" si="62"/>
        <v>4712548.716</v>
      </c>
      <c r="Q222" s="29">
        <f t="shared" si="62"/>
        <v>5489242.622</v>
      </c>
      <c r="R222" s="29">
        <f t="shared" si="62"/>
        <v>6331103.195</v>
      </c>
      <c r="S222" s="29">
        <f t="shared" si="62"/>
        <v>7238130.435</v>
      </c>
      <c r="T222" s="29">
        <f t="shared" si="62"/>
        <v>8210324.341</v>
      </c>
      <c r="U222" s="29">
        <f t="shared" si="62"/>
        <v>9247684.914</v>
      </c>
      <c r="V222" s="29">
        <f t="shared" si="62"/>
        <v>10350212.15</v>
      </c>
      <c r="W222" s="29">
        <f t="shared" si="62"/>
        <v>11517906.06</v>
      </c>
      <c r="X222" s="29">
        <f t="shared" si="62"/>
        <v>12750766.63</v>
      </c>
      <c r="Y222" s="29">
        <f t="shared" si="62"/>
        <v>14048793.87</v>
      </c>
      <c r="Z222" s="29">
        <f t="shared" si="62"/>
        <v>15412115.28</v>
      </c>
      <c r="AA222" s="29">
        <f t="shared" si="62"/>
        <v>16841024.1</v>
      </c>
      <c r="AB222" s="29">
        <f t="shared" si="62"/>
        <v>18335941.09</v>
      </c>
      <c r="AC222" s="29">
        <f t="shared" si="62"/>
        <v>19897299.75</v>
      </c>
      <c r="AD222" s="29">
        <f t="shared" si="62"/>
        <v>21525100.07</v>
      </c>
      <c r="AE222" s="29">
        <f t="shared" si="62"/>
        <v>23219342.06</v>
      </c>
      <c r="AF222" s="29">
        <f t="shared" si="62"/>
        <v>24980025.72</v>
      </c>
      <c r="AG222" s="29">
        <f t="shared" si="62"/>
        <v>26807151.04</v>
      </c>
      <c r="AH222" s="29">
        <f t="shared" si="62"/>
        <v>28700718.03</v>
      </c>
      <c r="AI222" s="29">
        <f t="shared" si="62"/>
        <v>30660726.68</v>
      </c>
      <c r="AJ222" s="29">
        <f t="shared" si="62"/>
        <v>32687177.01</v>
      </c>
      <c r="AK222" s="29">
        <f t="shared" si="62"/>
        <v>34780069</v>
      </c>
    </row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</sheetData>
  <drawing r:id="rId1"/>
</worksheet>
</file>