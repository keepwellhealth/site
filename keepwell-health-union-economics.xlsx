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Economics" sheetId="1" state="visible" r:id="rId1"/>
    <sheet name="Member Scale Analysis" sheetId="2" state="visible" r:id="rId2"/>
    <sheet name="36-Month Pilot" sheetId="3" state="visible" r:id="rId3"/>
    <sheet name="Employer Cost Comparison" sheetId="4" state="visible" r:id="rId4"/>
    <sheet name="Sensitivity Analysis" sheetId="5" state="visible" r:id="rId5"/>
    <sheet name="Key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"/>
    <numFmt numFmtId="167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1F497D"/>
      <sz val="18"/>
    </font>
    <font>
      <name val="Calibri"/>
      <color rgb="001F497D"/>
      <sz val="12"/>
    </font>
    <font>
      <name val="Calibri"/>
      <color rgb="00000000"/>
      <sz val="11"/>
    </font>
    <font>
      <name val="Calibri"/>
      <color rgb="003F3F76"/>
      <sz val="11"/>
    </font>
    <font>
      <name val="Calibri"/>
      <b val="1"/>
      <color rgb="001F497D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color rgb="00FF0000"/>
      <sz val="11"/>
    </font>
    <font>
      <name val="Calibri"/>
      <color rgb="00333333"/>
      <sz val="10"/>
    </font>
    <font>
      <name val="Calibri"/>
      <color rgb="00FF0000"/>
      <sz val="10"/>
    </font>
    <font>
      <name val="Calibri"/>
      <color rgb="001F497D"/>
      <sz val="14"/>
    </font>
    <font>
      <name val="Calibri"/>
      <b val="1"/>
      <color rgb="001F497D"/>
      <sz val="12"/>
    </font>
    <font>
      <name val="Calibri"/>
      <b val="1"/>
      <color rgb="00FF0000"/>
      <sz val="11"/>
    </font>
    <font>
      <name val="Calibri"/>
      <b val="1"/>
      <color rgb="00008000"/>
      <sz val="11"/>
    </font>
    <font>
      <name val="Calibri"/>
      <b val="1"/>
      <color rgb="00008000"/>
      <sz val="10"/>
    </font>
    <font>
      <name val="Calibri"/>
      <b val="1"/>
      <color rgb="003F3F76"/>
      <sz val="11"/>
    </font>
    <font>
      <name val="Calibri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FFCC99"/>
        <bgColor rgb="00FFCC99"/>
      </patternFill>
    </fill>
    <fill>
      <patternFill patternType="solid">
        <fgColor rgb="001F497D"/>
        <bgColor rgb="001F497D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4" fillId="2" borderId="0" pivotButton="0" quotePrefix="0" xfId="0"/>
    <xf numFmtId="10" fontId="4" fillId="2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7" fillId="3" borderId="0" applyAlignment="1" pivotButton="0" quotePrefix="0" xfId="0">
      <alignment horizontal="center" wrapText="1"/>
    </xf>
    <xf numFmtId="0" fontId="8" fillId="0" borderId="0" pivotButton="0" quotePrefix="0" xfId="0"/>
    <xf numFmtId="166" fontId="0" fillId="0" borderId="0" pivotButton="0" quotePrefix="0" xfId="0"/>
    <xf numFmtId="0" fontId="9" fillId="3" borderId="0" applyAlignment="1" pivotButton="0" quotePrefix="0" xfId="0">
      <alignment horizontal="center" wrapText="1"/>
    </xf>
    <xf numFmtId="164" fontId="10" fillId="0" borderId="0" pivotButton="0" quotePrefix="0" xfId="0"/>
    <xf numFmtId="0" fontId="11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4" fontId="15" fillId="0" borderId="0" pivotButton="0" quotePrefix="0" xfId="0"/>
    <xf numFmtId="164" fontId="16" fillId="0" borderId="0" pivotButton="0" quotePrefix="0" xfId="0"/>
    <xf numFmtId="167" fontId="0" fillId="0" borderId="0" pivotButton="0" quotePrefix="0" xfId="0"/>
    <xf numFmtId="0" fontId="17" fillId="0" borderId="0" pivotButton="0" quotePrefix="0" xfId="0"/>
    <xf numFmtId="10" fontId="18" fillId="4" borderId="0" pivotButton="0" quotePrefix="0" xfId="0"/>
    <xf numFmtId="0" fontId="16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Staff Cost per Member vs Scale</a:t>
            </a:r>
          </a:p>
        </rich>
      </tx>
    </title>
    <plotArea>
      <lineChart>
        <grouping val="standard"/>
        <ser>
          <idx val="0"/>
          <order val="0"/>
          <tx>
            <strRef>
              <f>'Member Scale Analysis'!I5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'Member Scale Analysis'!$A$6:$A$13</f>
            </numRef>
          </cat>
          <val>
            <numRef>
              <f>'Member Scale Analysis'!$I$6:$I$13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Member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per Member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Net Income by Member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'Member Scale Analysis'!L17</f>
            </strRef>
          </tx>
          <spPr>
            <a:ln>
              <a:prstDash val="solid"/>
            </a:ln>
          </spPr>
          <cat>
            <numRef>
              <f>'Member Scale Analysis'!$A$18:$A$25</f>
            </numRef>
          </cat>
          <val>
            <numRef>
              <f>'Member Scale Analysis'!$L$18:$L$25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Member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Net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Member Growth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'36-Month Pilot'!E11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'36-Month Pilot'!$A$12:$A$23</f>
            </numRef>
          </cat>
          <val>
            <numRef>
              <f>'36-Month Pilot'!$E$12:$E$23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Members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Net Income</a:t>
            </a:r>
          </a:p>
        </rich>
      </tx>
    </title>
    <plotArea>
      <lineChart>
        <grouping val="standard"/>
        <ser>
          <idx val="0"/>
          <order val="0"/>
          <tx>
            <strRef>
              <f>'36-Month Pilot'!M11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'36-Month Pilot'!$A$12:$A$23</f>
            </numRef>
          </cat>
          <val>
            <numRef>
              <f>'36-Month Pilot'!$M$12:$M$23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Net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Employer Cost Comparison per Employee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'Employer Cost Comparison'!C6</f>
            </strRef>
          </tx>
          <spPr>
            <a:ln>
              <a:prstDash val="solid"/>
            </a:ln>
          </spPr>
          <cat>
            <numRef>
              <f>'Employer Cost Comparison'!$A$7:$A$11</f>
            </numRef>
          </cat>
          <val>
            <numRef>
              <f>'Employer Cost Comparison'!$C$7:$C$11</f>
            </numRef>
          </val>
        </ser>
        <ser>
          <idx val="1"/>
          <order val="1"/>
          <tx>
            <strRef>
              <f>'Employer Cost Comparison'!F6</f>
            </strRef>
          </tx>
          <spPr>
            <a:ln>
              <a:prstDash val="solid"/>
            </a:ln>
          </spPr>
          <cat>
            <numRef>
              <f>'Employer Cost Comparison'!$A$7:$A$11</f>
            </numRef>
          </cat>
          <val>
            <numRef>
              <f>'Employer Cost Comparison'!$F$7:$F$11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Cumulative Employer Savings Over 5 Years</a:t>
            </a:r>
          </a:p>
        </rich>
      </tx>
    </title>
    <plotArea>
      <lineChart>
        <grouping val="standard"/>
        <ser>
          <idx val="0"/>
          <order val="0"/>
          <tx>
            <strRef>
              <f>'Employer Cost Comparison'!I6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'Employer Cost Comparison'!$A$7:$A$11</f>
            </numRef>
          </cat>
          <val>
            <numRef>
              <f>'Employer Cost Comparison'!$I$7:$I$11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Savings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Break-Even Members vs Monthly Fee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 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 Analysis'!$A$6:$A$10</f>
            </numRef>
          </cat>
          <val>
            <numRef>
              <f>'Sensitivity Analysis'!$C$6:$C$10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Monthly Fee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Members Needed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Surplus at 1000 Members by Staffing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'Sensitivity Analysis'!F14</f>
            </strRef>
          </tx>
          <spPr>
            <a:ln>
              <a:prstDash val="solid"/>
            </a:ln>
          </spPr>
          <cat>
            <numRef>
              <f>'Sensitivity Analysis'!$A$15:$A$19</f>
            </numRef>
          </cat>
          <val>
            <numRef>
              <f>'Sensitivity Analysis'!$F$15:$F$19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Staffing 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Surplus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Net Impact of Churn Rate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 Analysis'!E23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 Analysis'!$A$24:$A$28</f>
            </numRef>
          </cat>
          <val>
            <numRef>
              <f>'Sensitivity Analysis'!$E$24:$E$28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Monthly Churn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Impact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8" customWidth="1" min="5" max="5"/>
    <col width="15" customWidth="1" min="6" max="6"/>
    <col width="18" customWidth="1" min="7" max="7"/>
    <col width="25" customWidth="1" min="8" max="8"/>
  </cols>
  <sheetData>
    <row r="1">
      <c r="A1" s="1" t="inlineStr">
        <is>
          <t>KeepWell Health Union - Economic Model</t>
        </is>
      </c>
    </row>
    <row r="2">
      <c r="A2" s="2" t="inlineStr">
        <is>
          <t>Nonprofit Healthcare Cooperative</t>
        </is>
      </c>
      <c r="H2" s="3" t="inlineStr">
        <is>
          <t>Cells formatted like this:</t>
        </is>
      </c>
      <c r="J2" s="4" t="inlineStr">
        <is>
          <t>are input variables</t>
        </is>
      </c>
    </row>
    <row r="5">
      <c r="A5" s="5" t="inlineStr">
        <is>
          <t>Member Economics</t>
        </is>
      </c>
    </row>
    <row r="6">
      <c r="A6" t="inlineStr">
        <is>
          <t>Monthly Fee per Member (employer-paid)</t>
        </is>
      </c>
      <c r="B6" s="6" t="n">
        <v>450</v>
      </c>
    </row>
    <row r="7">
      <c r="A7" t="inlineStr">
        <is>
          <t>Annual Revenue per Member</t>
        </is>
      </c>
      <c r="B7" s="6">
        <f>B6*12</f>
        <v/>
      </c>
    </row>
    <row r="8">
      <c r="A8" t="inlineStr">
        <is>
          <t>Member Churn Rate (monthly)</t>
        </is>
      </c>
      <c r="B8" s="7" t="n">
        <v>0.025</v>
      </c>
      <c r="C8" s="8" t="inlineStr">
        <is>
          <t>Lower than traditional due to employer groups</t>
        </is>
      </c>
    </row>
    <row r="9">
      <c r="A9" t="inlineStr">
        <is>
          <t>Member Acquisition Cost</t>
        </is>
      </c>
      <c r="B9" s="6" t="n">
        <v>200</v>
      </c>
      <c r="C9" s="8" t="inlineStr">
        <is>
          <t>Lower than traditional - employer-based enrollment</t>
        </is>
      </c>
    </row>
    <row r="12">
      <c r="A12" s="5" t="inlineStr">
        <is>
          <t>Staffing Model</t>
        </is>
      </c>
    </row>
    <row r="13">
      <c r="A13" s="9" t="inlineStr">
        <is>
          <t>Staff Role</t>
        </is>
      </c>
      <c r="B13" s="9" t="inlineStr">
        <is>
          <t>Annual Salary</t>
        </is>
      </c>
      <c r="C13" s="9" t="inlineStr">
        <is>
          <t>Benefits (30%)</t>
        </is>
      </c>
      <c r="D13" s="9" t="inlineStr">
        <is>
          <t>Overhead/Staff</t>
        </is>
      </c>
      <c r="E13" s="9" t="inlineStr">
        <is>
          <t>Total Annual Cost</t>
        </is>
      </c>
      <c r="F13" s="9" t="inlineStr">
        <is>
          <t>Monthly Cost</t>
        </is>
      </c>
      <c r="G13" s="9" t="inlineStr">
        <is>
          <t>Member Capacity</t>
        </is>
      </c>
      <c r="H13" s="9" t="inlineStr">
        <is>
          <t>Cost per Member at Capacity</t>
        </is>
      </c>
    </row>
    <row r="14">
      <c r="A14" s="3" t="inlineStr">
        <is>
          <t>Primary Care Physician</t>
        </is>
      </c>
      <c r="B14" s="6" t="n">
        <v>220000</v>
      </c>
      <c r="C14" s="6" t="n">
        <v>66000</v>
      </c>
      <c r="D14" s="6" t="n">
        <v>15000</v>
      </c>
      <c r="E14" s="10">
        <f>B14+C14+D14</f>
        <v/>
      </c>
      <c r="F14" s="10">
        <f>E14/12</f>
        <v/>
      </c>
      <c r="G14" t="n">
        <v>500</v>
      </c>
      <c r="H14" s="11">
        <f>F14/G14</f>
        <v/>
      </c>
    </row>
    <row r="15">
      <c r="A15" s="3" t="inlineStr">
        <is>
          <t>Mental Health Therapist</t>
        </is>
      </c>
      <c r="B15" s="6" t="n">
        <v>85000</v>
      </c>
      <c r="C15" s="6" t="n">
        <v>25500</v>
      </c>
      <c r="D15" s="6" t="n">
        <v>12000</v>
      </c>
      <c r="E15" s="10">
        <f>B15+C15+D15</f>
        <v/>
      </c>
      <c r="F15" s="10">
        <f>E15/12</f>
        <v/>
      </c>
      <c r="G15" t="n">
        <v>333</v>
      </c>
      <c r="H15" s="11">
        <f>F15/G15</f>
        <v/>
      </c>
    </row>
    <row r="16">
      <c r="A16" s="3" t="inlineStr">
        <is>
          <t>Psychiatrist (Part-time)</t>
        </is>
      </c>
      <c r="B16" s="6" t="n">
        <v>120000</v>
      </c>
      <c r="C16" s="6" t="n">
        <v>36000</v>
      </c>
      <c r="D16" s="6" t="n">
        <v>8000</v>
      </c>
      <c r="E16" s="10">
        <f>B16+C16+D16</f>
        <v/>
      </c>
      <c r="F16" s="10">
        <f>E16/12</f>
        <v/>
      </c>
      <c r="G16" t="n">
        <v>800</v>
      </c>
      <c r="H16" s="11">
        <f>F16/G16</f>
        <v/>
      </c>
    </row>
    <row r="17">
      <c r="A17" s="3" t="inlineStr">
        <is>
          <t>Nurse Practitioner / PA</t>
        </is>
      </c>
      <c r="B17" s="6" t="n">
        <v>110000</v>
      </c>
      <c r="C17" s="6" t="n">
        <v>33000</v>
      </c>
      <c r="D17" s="6" t="n">
        <v>12000</v>
      </c>
      <c r="E17" s="10">
        <f>B17+C17+D17</f>
        <v/>
      </c>
      <c r="F17" s="10">
        <f>E17/12</f>
        <v/>
      </c>
      <c r="G17" t="n">
        <v>400</v>
      </c>
      <c r="H17" s="11">
        <f>F17/G17</f>
        <v/>
      </c>
    </row>
    <row r="18">
      <c r="A18" s="3" t="inlineStr">
        <is>
          <t>Medical Assistant / Nurse</t>
        </is>
      </c>
      <c r="B18" s="6" t="n">
        <v>50000</v>
      </c>
      <c r="C18" s="6" t="n">
        <v>15000</v>
      </c>
      <c r="D18" s="6" t="n">
        <v>8000</v>
      </c>
      <c r="E18" s="10">
        <f>B18+C18+D18</f>
        <v/>
      </c>
      <c r="F18" s="10">
        <f>E18/12</f>
        <v/>
      </c>
      <c r="G18" t="n">
        <v>300</v>
      </c>
      <c r="H18" s="11">
        <f>F18/G18</f>
        <v/>
      </c>
    </row>
    <row r="19">
      <c r="A19" s="3" t="inlineStr">
        <is>
          <t>Care Navigator / Advocate</t>
        </is>
      </c>
      <c r="B19" s="6" t="n">
        <v>55000</v>
      </c>
      <c r="C19" s="6" t="n">
        <v>16500</v>
      </c>
      <c r="D19" s="6" t="n">
        <v>10000</v>
      </c>
      <c r="E19" s="10">
        <f>B19+C19+D19</f>
        <v/>
      </c>
      <c r="F19" s="10">
        <f>E19/12</f>
        <v/>
      </c>
      <c r="G19" t="n">
        <v>400</v>
      </c>
      <c r="H19" s="11">
        <f>F19/G19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KeepWell Health Union - Staffing &amp; Cost by Member Count</t>
        </is>
      </c>
    </row>
    <row r="4">
      <c r="A4" s="5" t="inlineStr">
        <is>
          <t>Staffing Requirements at Different Scales</t>
        </is>
      </c>
    </row>
    <row r="5">
      <c r="A5" s="12" t="inlineStr">
        <is>
          <t>Member Count</t>
        </is>
      </c>
      <c r="B5" s="12" t="inlineStr">
        <is>
          <t>PCPs</t>
        </is>
      </c>
      <c r="C5" s="12" t="inlineStr">
        <is>
          <t>Therapists</t>
        </is>
      </c>
      <c r="D5" s="12" t="inlineStr">
        <is>
          <t>Psychiatrist (FTE)</t>
        </is>
      </c>
      <c r="E5" s="12" t="inlineStr">
        <is>
          <t>NP/PAs</t>
        </is>
      </c>
      <c r="F5" s="12" t="inlineStr">
        <is>
          <t>MAs</t>
        </is>
      </c>
      <c r="G5" s="12" t="inlineStr">
        <is>
          <t>Navigators</t>
        </is>
      </c>
      <c r="H5" s="12" t="inlineStr">
        <is>
          <t>Total Monthly Staff Cost</t>
        </is>
      </c>
      <c r="I5" s="12" t="inlineStr">
        <is>
          <t>Staff Cost per Member</t>
        </is>
      </c>
      <c r="J5" s="12" t="inlineStr">
        <is>
          <t>Facility Size (sq ft)</t>
        </is>
      </c>
      <c r="K5" s="12" t="inlineStr">
        <is>
          <t>Monthly Facility Cost</t>
        </is>
      </c>
    </row>
    <row r="6">
      <c r="A6" s="13" t="n">
        <v>250</v>
      </c>
      <c r="B6" t="n">
        <v>1</v>
      </c>
      <c r="C6" t="n">
        <v>1</v>
      </c>
      <c r="D6" s="14" t="n">
        <v>0.3</v>
      </c>
      <c r="E6" t="n">
        <v>1</v>
      </c>
      <c r="F6" t="n">
        <v>1</v>
      </c>
      <c r="G6" t="n">
        <v>1</v>
      </c>
      <c r="H6" s="10" t="n">
        <v>97667</v>
      </c>
      <c r="I6" s="10" t="n">
        <v>391</v>
      </c>
      <c r="J6" t="n">
        <v>2000</v>
      </c>
      <c r="K6" s="10" t="n">
        <v>15000</v>
      </c>
    </row>
    <row r="7">
      <c r="A7" s="13" t="n">
        <v>500</v>
      </c>
      <c r="B7" t="n">
        <v>1</v>
      </c>
      <c r="C7" t="n">
        <v>2</v>
      </c>
      <c r="D7" s="14" t="n">
        <v>0.6</v>
      </c>
      <c r="E7" t="n">
        <v>2</v>
      </c>
      <c r="F7" t="n">
        <v>2</v>
      </c>
      <c r="G7" t="n">
        <v>2</v>
      </c>
      <c r="H7" s="10" t="n">
        <v>138167</v>
      </c>
      <c r="I7" s="10" t="n">
        <v>276</v>
      </c>
      <c r="J7" t="n">
        <v>3000</v>
      </c>
      <c r="K7" s="10" t="n">
        <v>25000</v>
      </c>
    </row>
    <row r="8">
      <c r="A8" s="13" t="n">
        <v>750</v>
      </c>
      <c r="B8" t="n">
        <v>2</v>
      </c>
      <c r="C8" t="n">
        <v>3</v>
      </c>
      <c r="D8" s="14" t="n">
        <v>0.9</v>
      </c>
      <c r="E8" t="n">
        <v>2</v>
      </c>
      <c r="F8" t="n">
        <v>3</v>
      </c>
      <c r="G8" t="n">
        <v>2</v>
      </c>
      <c r="H8" s="10" t="n">
        <v>186542</v>
      </c>
      <c r="I8" s="10" t="n">
        <v>249</v>
      </c>
      <c r="J8" t="n">
        <v>4000</v>
      </c>
      <c r="K8" s="10" t="n">
        <v>30000</v>
      </c>
    </row>
    <row r="9">
      <c r="A9" s="13" t="n">
        <v>1000</v>
      </c>
      <c r="B9" t="n">
        <v>2</v>
      </c>
      <c r="C9" t="n">
        <v>3</v>
      </c>
      <c r="D9" s="14" t="n">
        <v>1.3</v>
      </c>
      <c r="E9" t="n">
        <v>3</v>
      </c>
      <c r="F9" t="n">
        <v>4</v>
      </c>
      <c r="G9" t="n">
        <v>3</v>
      </c>
      <c r="H9" s="10" t="n">
        <v>226917</v>
      </c>
      <c r="I9" s="10" t="n">
        <v>227</v>
      </c>
      <c r="J9" t="n">
        <v>5000</v>
      </c>
      <c r="K9" s="10" t="n">
        <v>35000</v>
      </c>
    </row>
    <row r="10">
      <c r="A10" s="13" t="n">
        <v>1500</v>
      </c>
      <c r="B10" t="n">
        <v>3</v>
      </c>
      <c r="C10" t="n">
        <v>5</v>
      </c>
      <c r="D10" s="14" t="n">
        <v>1.9</v>
      </c>
      <c r="E10" t="n">
        <v>4</v>
      </c>
      <c r="F10" t="n">
        <v>5</v>
      </c>
      <c r="G10" t="n">
        <v>4</v>
      </c>
      <c r="H10" s="10" t="n">
        <v>318167</v>
      </c>
      <c r="I10" s="10" t="n">
        <v>212</v>
      </c>
      <c r="J10" t="n">
        <v>6500</v>
      </c>
      <c r="K10" s="10" t="n">
        <v>45000</v>
      </c>
    </row>
    <row r="11">
      <c r="A11" s="13" t="n">
        <v>2000</v>
      </c>
      <c r="B11" t="n">
        <v>4</v>
      </c>
      <c r="C11" t="n">
        <v>6</v>
      </c>
      <c r="D11" s="14" t="n">
        <v>2.5</v>
      </c>
      <c r="E11" t="n">
        <v>5</v>
      </c>
      <c r="F11" t="n">
        <v>7</v>
      </c>
      <c r="G11" t="n">
        <v>5</v>
      </c>
      <c r="H11" s="10" t="n">
        <v>417167</v>
      </c>
      <c r="I11" s="10" t="n">
        <v>209</v>
      </c>
      <c r="J11" t="n">
        <v>8500</v>
      </c>
      <c r="K11" s="10" t="n">
        <v>60000</v>
      </c>
    </row>
    <row r="12">
      <c r="A12" s="13" t="n">
        <v>3000</v>
      </c>
      <c r="B12" t="n">
        <v>6</v>
      </c>
      <c r="C12" t="n">
        <v>9</v>
      </c>
      <c r="D12" s="14" t="n">
        <v>3.8</v>
      </c>
      <c r="E12" t="n">
        <v>8</v>
      </c>
      <c r="F12" t="n">
        <v>10</v>
      </c>
      <c r="G12" t="n">
        <v>8</v>
      </c>
      <c r="H12" s="10" t="n">
        <v>622167</v>
      </c>
      <c r="I12" s="10" t="n">
        <v>207</v>
      </c>
      <c r="J12" t="n">
        <v>12000</v>
      </c>
      <c r="K12" s="10" t="n">
        <v>85000</v>
      </c>
    </row>
    <row r="13">
      <c r="A13" s="13" t="n">
        <v>5000</v>
      </c>
      <c r="B13" t="n">
        <v>10</v>
      </c>
      <c r="C13" t="n">
        <v>15</v>
      </c>
      <c r="D13" s="14" t="n">
        <v>6.3</v>
      </c>
      <c r="E13" t="n">
        <v>13</v>
      </c>
      <c r="F13" t="n">
        <v>17</v>
      </c>
      <c r="G13" t="n">
        <v>13</v>
      </c>
      <c r="H13" s="10" t="n">
        <v>1033917</v>
      </c>
      <c r="I13" s="10" t="n">
        <v>207</v>
      </c>
      <c r="J13" t="n">
        <v>18000</v>
      </c>
      <c r="K13" s="10" t="n">
        <v>125000</v>
      </c>
    </row>
    <row r="16">
      <c r="A16" s="5" t="inlineStr">
        <is>
          <t>Full Cost Structure by Member Scale</t>
        </is>
      </c>
    </row>
    <row r="17">
      <c r="A17" s="15" t="inlineStr">
        <is>
          <t>Member Count</t>
        </is>
      </c>
      <c r="B17" s="15" t="inlineStr">
        <is>
          <t>Monthly Revenue</t>
        </is>
      </c>
      <c r="C17" s="15" t="inlineStr">
        <is>
          <t>Annual Revenue</t>
        </is>
      </c>
      <c r="D17" s="15" t="inlineStr">
        <is>
          <t>Staff Costs (Annual)</t>
        </is>
      </c>
      <c r="E17" s="15" t="inlineStr">
        <is>
          <t>Facility Costs (Annual)</t>
        </is>
      </c>
      <c r="F17" s="15" t="inlineStr">
        <is>
          <t>Lab/Diagnostics</t>
        </is>
      </c>
      <c r="G17" s="15" t="inlineStr">
        <is>
          <t>Medical Supplies</t>
        </is>
      </c>
      <c r="H17" s="15" t="inlineStr">
        <is>
          <t>IT Systems</t>
        </is>
      </c>
      <c r="I17" s="15" t="inlineStr">
        <is>
          <t>Reinsurance Premium</t>
        </is>
      </c>
      <c r="J17" s="15" t="inlineStr">
        <is>
          <t>Other Operating</t>
        </is>
      </c>
      <c r="K17" s="15" t="inlineStr">
        <is>
          <t>Total Annual Costs</t>
        </is>
      </c>
      <c r="L17" s="15" t="inlineStr">
        <is>
          <t>Annual Net Before Reserves</t>
        </is>
      </c>
      <c r="M17" s="15" t="inlineStr">
        <is>
          <t>Monthly Net</t>
        </is>
      </c>
      <c r="N17" s="15" t="inlineStr">
        <is>
          <t>Break-even?</t>
        </is>
      </c>
      <c r="O17" s="15" t="inlineStr">
        <is>
          <t>Cost per Member/Year</t>
        </is>
      </c>
    </row>
    <row r="18">
      <c r="A18" s="13" t="n">
        <v>250</v>
      </c>
      <c r="B18" s="10" t="n">
        <v>112500</v>
      </c>
      <c r="C18" s="10" t="n">
        <v>1350000</v>
      </c>
      <c r="D18" s="10" t="n">
        <v>1172000</v>
      </c>
      <c r="E18" s="10" t="n">
        <v>180000</v>
      </c>
      <c r="F18" s="10" t="n">
        <v>75000</v>
      </c>
      <c r="G18" s="10" t="n">
        <v>50000</v>
      </c>
      <c r="H18" s="10" t="n">
        <v>60000</v>
      </c>
      <c r="I18" s="10" t="n">
        <v>135000</v>
      </c>
      <c r="J18" s="10" t="n">
        <v>75000</v>
      </c>
      <c r="K18" s="10" t="n">
        <v>1747000</v>
      </c>
      <c r="L18" s="16" t="n">
        <v>-397000</v>
      </c>
      <c r="M18" s="16" t="n">
        <v>-33083</v>
      </c>
      <c r="N18" t="inlineStr">
        <is>
          <t>No</t>
        </is>
      </c>
      <c r="O18" s="10" t="n">
        <v>6988</v>
      </c>
    </row>
    <row r="19">
      <c r="A19" s="13" t="n">
        <v>500</v>
      </c>
      <c r="B19" s="10" t="n">
        <v>225000</v>
      </c>
      <c r="C19" s="10" t="n">
        <v>2700000</v>
      </c>
      <c r="D19" s="10" t="n">
        <v>1658000</v>
      </c>
      <c r="E19" s="10" t="n">
        <v>300000</v>
      </c>
      <c r="F19" s="10" t="n">
        <v>150000</v>
      </c>
      <c r="G19" s="10" t="n">
        <v>75000</v>
      </c>
      <c r="H19" s="10" t="n">
        <v>60000</v>
      </c>
      <c r="I19" s="10" t="n">
        <v>270000</v>
      </c>
      <c r="J19" s="10" t="n">
        <v>100000</v>
      </c>
      <c r="K19" s="10" t="n">
        <v>2613000</v>
      </c>
      <c r="L19" s="10" t="n">
        <v>87000</v>
      </c>
      <c r="M19" s="10" t="n">
        <v>7250</v>
      </c>
      <c r="N19" t="inlineStr">
        <is>
          <t>Yes</t>
        </is>
      </c>
      <c r="O19" s="10" t="n">
        <v>5226</v>
      </c>
    </row>
    <row r="20">
      <c r="A20" s="13" t="n">
        <v>750</v>
      </c>
      <c r="B20" s="10" t="n">
        <v>337500</v>
      </c>
      <c r="C20" s="10" t="n">
        <v>4050000</v>
      </c>
      <c r="D20" s="10" t="n">
        <v>2238500</v>
      </c>
      <c r="E20" s="10" t="n">
        <v>360000</v>
      </c>
      <c r="F20" s="10" t="n">
        <v>225000</v>
      </c>
      <c r="G20" s="10" t="n">
        <v>100000</v>
      </c>
      <c r="H20" s="10" t="n">
        <v>75000</v>
      </c>
      <c r="I20" s="10" t="n">
        <v>405000</v>
      </c>
      <c r="J20" s="10" t="n">
        <v>125000</v>
      </c>
      <c r="K20" s="10" t="n">
        <v>3528500</v>
      </c>
      <c r="L20" s="10" t="n">
        <v>521500</v>
      </c>
      <c r="M20" s="10" t="n">
        <v>43458</v>
      </c>
      <c r="N20" t="inlineStr">
        <is>
          <t>Yes</t>
        </is>
      </c>
      <c r="O20" s="10" t="n">
        <v>4705</v>
      </c>
    </row>
    <row r="21">
      <c r="A21" s="13" t="n">
        <v>1000</v>
      </c>
      <c r="B21" s="10" t="n">
        <v>450000</v>
      </c>
      <c r="C21" s="10" t="n">
        <v>5400000</v>
      </c>
      <c r="D21" s="10" t="n">
        <v>2723000</v>
      </c>
      <c r="E21" s="10" t="n">
        <v>420000</v>
      </c>
      <c r="F21" s="10" t="n">
        <v>300000</v>
      </c>
      <c r="G21" s="10" t="n">
        <v>125000</v>
      </c>
      <c r="H21" s="10" t="n">
        <v>90000</v>
      </c>
      <c r="I21" s="10" t="n">
        <v>540000</v>
      </c>
      <c r="J21" s="10" t="n">
        <v>150000</v>
      </c>
      <c r="K21" s="10" t="n">
        <v>4348000</v>
      </c>
      <c r="L21" s="10" t="n">
        <v>1052000</v>
      </c>
      <c r="M21" s="10" t="n">
        <v>87667</v>
      </c>
      <c r="N21" t="inlineStr">
        <is>
          <t>Yes</t>
        </is>
      </c>
      <c r="O21" s="10" t="n">
        <v>4348</v>
      </c>
    </row>
    <row r="22">
      <c r="A22" s="13" t="n">
        <v>1500</v>
      </c>
      <c r="B22" s="10" t="n">
        <v>675000</v>
      </c>
      <c r="C22" s="10" t="n">
        <v>8100000</v>
      </c>
      <c r="D22" s="10" t="n">
        <v>3818000</v>
      </c>
      <c r="E22" s="10" t="n">
        <v>540000</v>
      </c>
      <c r="F22" s="10" t="n">
        <v>450000</v>
      </c>
      <c r="G22" s="10" t="n">
        <v>175000</v>
      </c>
      <c r="H22" s="10" t="n">
        <v>120000</v>
      </c>
      <c r="I22" s="10" t="n">
        <v>810000</v>
      </c>
      <c r="J22" s="10" t="n">
        <v>200000</v>
      </c>
      <c r="K22" s="10" t="n">
        <v>6113000</v>
      </c>
      <c r="L22" s="10" t="n">
        <v>1987000</v>
      </c>
      <c r="M22" s="10" t="n">
        <v>165583</v>
      </c>
      <c r="N22" t="inlineStr">
        <is>
          <t>Yes</t>
        </is>
      </c>
      <c r="O22" s="10" t="n">
        <v>4075</v>
      </c>
    </row>
    <row r="23">
      <c r="A23" s="13" t="n">
        <v>2000</v>
      </c>
      <c r="B23" s="10" t="n">
        <v>900000</v>
      </c>
      <c r="C23" s="10" t="n">
        <v>10800000</v>
      </c>
      <c r="D23" s="10" t="n">
        <v>5006000</v>
      </c>
      <c r="E23" s="10" t="n">
        <v>720000</v>
      </c>
      <c r="F23" s="10" t="n">
        <v>600000</v>
      </c>
      <c r="G23" s="10" t="n">
        <v>225000</v>
      </c>
      <c r="H23" s="10" t="n">
        <v>150000</v>
      </c>
      <c r="I23" s="10" t="n">
        <v>1080000</v>
      </c>
      <c r="J23" s="10" t="n">
        <v>250000</v>
      </c>
      <c r="K23" s="10" t="n">
        <v>8031000</v>
      </c>
      <c r="L23" s="10" t="n">
        <v>2769000</v>
      </c>
      <c r="M23" s="10" t="n">
        <v>230750</v>
      </c>
      <c r="N23" t="inlineStr">
        <is>
          <t>Yes</t>
        </is>
      </c>
      <c r="O23" s="10" t="n">
        <v>4016</v>
      </c>
    </row>
    <row r="24">
      <c r="A24" s="13" t="n">
        <v>3000</v>
      </c>
      <c r="B24" s="10" t="n">
        <v>1350000</v>
      </c>
      <c r="C24" s="10" t="n">
        <v>16200000</v>
      </c>
      <c r="D24" s="10" t="n">
        <v>7466000</v>
      </c>
      <c r="E24" s="10" t="n">
        <v>1020000</v>
      </c>
      <c r="F24" s="10" t="n">
        <v>900000</v>
      </c>
      <c r="G24" s="10" t="n">
        <v>325000</v>
      </c>
      <c r="H24" s="10" t="n">
        <v>180000</v>
      </c>
      <c r="I24" s="10" t="n">
        <v>1620000</v>
      </c>
      <c r="J24" s="10" t="n">
        <v>350000</v>
      </c>
      <c r="K24" s="10" t="n">
        <v>11861000</v>
      </c>
      <c r="L24" s="10" t="n">
        <v>4339000</v>
      </c>
      <c r="M24" s="10" t="n">
        <v>361583</v>
      </c>
      <c r="N24" t="inlineStr">
        <is>
          <t>Yes</t>
        </is>
      </c>
      <c r="O24" s="10" t="n">
        <v>3954</v>
      </c>
    </row>
    <row r="25">
      <c r="A25" s="13" t="n">
        <v>5000</v>
      </c>
      <c r="B25" s="10" t="n">
        <v>2250000</v>
      </c>
      <c r="C25" s="10" t="n">
        <v>27000000</v>
      </c>
      <c r="D25" s="10" t="n">
        <v>12407000</v>
      </c>
      <c r="E25" s="10" t="n">
        <v>1500000</v>
      </c>
      <c r="F25" s="10" t="n">
        <v>1500000</v>
      </c>
      <c r="G25" s="10" t="n">
        <v>500000</v>
      </c>
      <c r="H25" s="10" t="n">
        <v>240000</v>
      </c>
      <c r="I25" s="10" t="n">
        <v>2700000</v>
      </c>
      <c r="J25" s="10" t="n">
        <v>500000</v>
      </c>
      <c r="K25" s="10" t="n">
        <v>19347000</v>
      </c>
      <c r="L25" s="10" t="n">
        <v>7653000</v>
      </c>
      <c r="M25" s="10" t="n">
        <v>637750</v>
      </c>
      <c r="N25" t="inlineStr">
        <is>
          <t>Yes</t>
        </is>
      </c>
      <c r="O25" s="10" t="n">
        <v>3869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KeepWell Health Union - Pilot Scenario (Launch to 1000+ Members)</t>
        </is>
      </c>
    </row>
    <row r="3">
      <c r="A3" s="5" t="inlineStr">
        <is>
          <t>Assumptions:</t>
        </is>
      </c>
    </row>
    <row r="4">
      <c r="A4" s="17" t="inlineStr">
        <is>
          <t>• Launch with 100 members (1-2 employer clients)</t>
        </is>
      </c>
    </row>
    <row r="5">
      <c r="A5" s="17" t="inlineStr">
        <is>
          <t>• Add 50 new members per month (months 1-12)</t>
        </is>
      </c>
    </row>
    <row r="6">
      <c r="A6" s="17" t="inlineStr">
        <is>
          <t>• 2.5% monthly churn rate</t>
        </is>
      </c>
    </row>
    <row r="7">
      <c r="A7" s="17" t="inlineStr">
        <is>
          <t>• $450/member/month fee</t>
        </is>
      </c>
    </row>
    <row r="8">
      <c r="A8" s="17" t="inlineStr">
        <is>
          <t>• Startup costs: $375k (covered by philanthropic capital)</t>
        </is>
      </c>
    </row>
    <row r="11">
      <c r="A11" s="15" t="inlineStr">
        <is>
          <t>Month</t>
        </is>
      </c>
      <c r="B11" s="15" t="inlineStr">
        <is>
          <t>New Members</t>
        </is>
      </c>
      <c r="C11" s="15" t="inlineStr">
        <is>
          <t>Members at Start</t>
        </is>
      </c>
      <c r="D11" s="15" t="inlineStr">
        <is>
          <t>Churn</t>
        </is>
      </c>
      <c r="E11" s="15" t="inlineStr">
        <is>
          <t>Members at End</t>
        </is>
      </c>
      <c r="F11" s="15" t="inlineStr">
        <is>
          <t>Monthly Revenue</t>
        </is>
      </c>
      <c r="G11" s="15" t="inlineStr">
        <is>
          <t>Member Acquisition Costs</t>
        </is>
      </c>
      <c r="H11" s="15" t="inlineStr">
        <is>
          <t>Staff Costs</t>
        </is>
      </c>
      <c r="I11" s="15" t="inlineStr">
        <is>
          <t>Facility Costs</t>
        </is>
      </c>
      <c r="J11" s="15" t="inlineStr">
        <is>
          <t>Other Operating Costs</t>
        </is>
      </c>
      <c r="K11" s="15" t="inlineStr">
        <is>
          <t>Total Monthly Expenses</t>
        </is>
      </c>
      <c r="L11" s="15" t="inlineStr">
        <is>
          <t>Monthly Net Income</t>
        </is>
      </c>
      <c r="M11" s="15" t="inlineStr">
        <is>
          <t>Cumulative Net Income</t>
        </is>
      </c>
    </row>
    <row r="12">
      <c r="A12" t="n">
        <v>1</v>
      </c>
      <c r="B12" t="n">
        <v>100</v>
      </c>
      <c r="C12" t="n">
        <v>0</v>
      </c>
      <c r="D12" t="n">
        <v>0</v>
      </c>
      <c r="E12" t="n">
        <v>100</v>
      </c>
      <c r="F12" s="10" t="n">
        <v>45000</v>
      </c>
      <c r="G12" s="10" t="n">
        <v>20000</v>
      </c>
      <c r="H12" s="10" t="n">
        <v>97667</v>
      </c>
      <c r="I12" s="10" t="n">
        <v>15000</v>
      </c>
      <c r="J12" s="10" t="n">
        <v>20500</v>
      </c>
      <c r="K12" s="10" t="n">
        <v>153167</v>
      </c>
      <c r="L12" s="18" t="n">
        <v>-128167</v>
      </c>
      <c r="M12" s="18" t="n">
        <v>-128167</v>
      </c>
    </row>
    <row r="13">
      <c r="A13" t="n">
        <v>2</v>
      </c>
      <c r="B13" t="n">
        <v>50</v>
      </c>
      <c r="C13" t="n">
        <v>100</v>
      </c>
      <c r="D13" t="n">
        <v>3</v>
      </c>
      <c r="E13" t="n">
        <v>148</v>
      </c>
      <c r="F13" s="10" t="n">
        <v>66375</v>
      </c>
      <c r="G13" s="10" t="n">
        <v>10000</v>
      </c>
      <c r="H13" s="10" t="n">
        <v>97667</v>
      </c>
      <c r="I13" s="10" t="n">
        <v>15000</v>
      </c>
      <c r="J13" s="10" t="n">
        <v>20034</v>
      </c>
      <c r="K13" s="10" t="n">
        <v>142701</v>
      </c>
      <c r="L13" s="18" t="n">
        <v>-86326</v>
      </c>
      <c r="M13" s="18" t="n">
        <v>-214493</v>
      </c>
    </row>
    <row r="14">
      <c r="A14" t="n">
        <v>3</v>
      </c>
      <c r="B14" t="n">
        <v>50</v>
      </c>
      <c r="C14" t="n">
        <v>148</v>
      </c>
      <c r="D14" t="n">
        <v>4</v>
      </c>
      <c r="E14" t="n">
        <v>195</v>
      </c>
      <c r="F14" s="10" t="n">
        <v>87525</v>
      </c>
      <c r="G14" s="10" t="n">
        <v>10000</v>
      </c>
      <c r="H14" s="10" t="n">
        <v>97667</v>
      </c>
      <c r="I14" s="10" t="n">
        <v>15000</v>
      </c>
      <c r="J14" s="10" t="n">
        <v>23508</v>
      </c>
      <c r="K14" s="10" t="n">
        <v>146175</v>
      </c>
      <c r="L14" s="18" t="n">
        <v>-68650</v>
      </c>
      <c r="M14" s="18" t="n">
        <v>-283143</v>
      </c>
    </row>
    <row r="15">
      <c r="A15" t="n">
        <v>4</v>
      </c>
      <c r="B15" t="n">
        <v>50</v>
      </c>
      <c r="C15" t="n">
        <v>195</v>
      </c>
      <c r="D15" t="n">
        <v>5</v>
      </c>
      <c r="E15" t="n">
        <v>240</v>
      </c>
      <c r="F15" s="10" t="n">
        <v>107775</v>
      </c>
      <c r="G15" s="10" t="n">
        <v>10000</v>
      </c>
      <c r="H15" s="10" t="n">
        <v>97667</v>
      </c>
      <c r="I15" s="10" t="n">
        <v>15000</v>
      </c>
      <c r="J15" s="10" t="n">
        <v>27778</v>
      </c>
      <c r="K15" s="10" t="n">
        <v>150445</v>
      </c>
      <c r="L15" s="18" t="n">
        <v>-52670</v>
      </c>
      <c r="M15" s="18" t="n">
        <v>-335813</v>
      </c>
    </row>
    <row r="16">
      <c r="A16" t="n">
        <v>5</v>
      </c>
      <c r="B16" t="n">
        <v>50</v>
      </c>
      <c r="C16" t="n">
        <v>240</v>
      </c>
      <c r="D16" t="n">
        <v>6</v>
      </c>
      <c r="E16" t="n">
        <v>283</v>
      </c>
      <c r="F16" s="10" t="n">
        <v>127125</v>
      </c>
      <c r="G16" s="10" t="n">
        <v>10000</v>
      </c>
      <c r="H16" s="10" t="n">
        <v>97667</v>
      </c>
      <c r="I16" s="10" t="n">
        <v>15000</v>
      </c>
      <c r="J16" s="10" t="n">
        <v>31838</v>
      </c>
      <c r="K16" s="10" t="n">
        <v>154505</v>
      </c>
      <c r="L16" s="18" t="n">
        <v>-37380</v>
      </c>
      <c r="M16" s="18" t="n">
        <v>-373193</v>
      </c>
    </row>
    <row r="17">
      <c r="A17" t="n">
        <v>6</v>
      </c>
      <c r="B17" t="n">
        <v>50</v>
      </c>
      <c r="C17" t="n">
        <v>283</v>
      </c>
      <c r="D17" t="n">
        <v>7</v>
      </c>
      <c r="E17" t="n">
        <v>325</v>
      </c>
      <c r="F17" s="10" t="n">
        <v>145800</v>
      </c>
      <c r="G17" s="10" t="n">
        <v>10000</v>
      </c>
      <c r="H17" s="10" t="n">
        <v>138167</v>
      </c>
      <c r="I17" s="10" t="n">
        <v>25000</v>
      </c>
      <c r="J17" s="10" t="n">
        <v>38810</v>
      </c>
      <c r="K17" s="10" t="n">
        <v>211977</v>
      </c>
      <c r="L17" s="18" t="n">
        <v>-76177</v>
      </c>
      <c r="M17" s="18" t="n">
        <v>-449370</v>
      </c>
    </row>
    <row r="18">
      <c r="A18" t="n">
        <v>7</v>
      </c>
      <c r="B18" t="n">
        <v>50</v>
      </c>
      <c r="C18" t="n">
        <v>325</v>
      </c>
      <c r="D18" t="n">
        <v>8</v>
      </c>
      <c r="E18" t="n">
        <v>365</v>
      </c>
      <c r="F18" s="10" t="n">
        <v>163688</v>
      </c>
      <c r="G18" s="10" t="n">
        <v>10000</v>
      </c>
      <c r="H18" s="10" t="n">
        <v>138167</v>
      </c>
      <c r="I18" s="10" t="n">
        <v>25000</v>
      </c>
      <c r="J18" s="10" t="n">
        <v>42582</v>
      </c>
      <c r="K18" s="10" t="n">
        <v>215749</v>
      </c>
      <c r="L18" s="18" t="n">
        <v>-62061</v>
      </c>
      <c r="M18" s="18" t="n">
        <v>-511431</v>
      </c>
    </row>
    <row r="19">
      <c r="A19" t="n">
        <v>8</v>
      </c>
      <c r="B19" t="n">
        <v>50</v>
      </c>
      <c r="C19" t="n">
        <v>365</v>
      </c>
      <c r="D19" t="n">
        <v>9</v>
      </c>
      <c r="E19" t="n">
        <v>403</v>
      </c>
      <c r="F19" s="10" t="n">
        <v>180900</v>
      </c>
      <c r="G19" s="10" t="n">
        <v>10000</v>
      </c>
      <c r="H19" s="10" t="n">
        <v>138167</v>
      </c>
      <c r="I19" s="10" t="n">
        <v>25000</v>
      </c>
      <c r="J19" s="10" t="n">
        <v>46202</v>
      </c>
      <c r="K19" s="10" t="n">
        <v>219369</v>
      </c>
      <c r="L19" s="18" t="n">
        <v>-48469</v>
      </c>
      <c r="M19" s="18" t="n">
        <v>-559900</v>
      </c>
    </row>
    <row r="20">
      <c r="A20" t="n">
        <v>9</v>
      </c>
      <c r="B20" t="n">
        <v>50</v>
      </c>
      <c r="C20" t="n">
        <v>403</v>
      </c>
      <c r="D20" t="n">
        <v>10</v>
      </c>
      <c r="E20" t="n">
        <v>441</v>
      </c>
      <c r="F20" s="10" t="n">
        <v>197550</v>
      </c>
      <c r="G20" s="10" t="n">
        <v>10000</v>
      </c>
      <c r="H20" s="10" t="n">
        <v>138167</v>
      </c>
      <c r="I20" s="10" t="n">
        <v>25000</v>
      </c>
      <c r="J20" s="10" t="n">
        <v>49705</v>
      </c>
      <c r="K20" s="10" t="n">
        <v>222872</v>
      </c>
      <c r="L20" s="18" t="n">
        <v>-35322</v>
      </c>
      <c r="M20" s="18" t="n">
        <v>-595222</v>
      </c>
    </row>
    <row r="21">
      <c r="A21" t="n">
        <v>10</v>
      </c>
      <c r="B21" t="n">
        <v>50</v>
      </c>
      <c r="C21" t="n">
        <v>441</v>
      </c>
      <c r="D21" t="n">
        <v>11</v>
      </c>
      <c r="E21" t="n">
        <v>478</v>
      </c>
      <c r="F21" s="10" t="n">
        <v>213525</v>
      </c>
      <c r="G21" s="10" t="n">
        <v>10000</v>
      </c>
      <c r="H21" s="10" t="n">
        <v>138167</v>
      </c>
      <c r="I21" s="10" t="n">
        <v>25000</v>
      </c>
      <c r="J21" s="10" t="n">
        <v>53077</v>
      </c>
      <c r="K21" s="10" t="n">
        <v>226244</v>
      </c>
      <c r="L21" s="18" t="n">
        <v>-22719</v>
      </c>
      <c r="M21" s="18" t="n">
        <v>-617941</v>
      </c>
    </row>
    <row r="22">
      <c r="A22" t="n">
        <v>11</v>
      </c>
      <c r="B22" t="n">
        <v>50</v>
      </c>
      <c r="C22" t="n">
        <v>478</v>
      </c>
      <c r="D22" t="n">
        <v>12</v>
      </c>
      <c r="E22" t="n">
        <v>513</v>
      </c>
      <c r="F22" s="10" t="n">
        <v>229050</v>
      </c>
      <c r="G22" s="10" t="n">
        <v>10000</v>
      </c>
      <c r="H22" s="10" t="n">
        <v>138167</v>
      </c>
      <c r="I22" s="10" t="n">
        <v>25000</v>
      </c>
      <c r="J22" s="10" t="n">
        <v>56355</v>
      </c>
      <c r="K22" s="10" t="n">
        <v>229522</v>
      </c>
      <c r="L22" s="18" t="n">
        <v>-472</v>
      </c>
      <c r="M22" s="18" t="n">
        <v>-618413</v>
      </c>
    </row>
    <row r="23">
      <c r="A23" t="n">
        <v>12</v>
      </c>
      <c r="B23" t="n">
        <v>50</v>
      </c>
      <c r="C23" t="n">
        <v>513</v>
      </c>
      <c r="D23" t="n">
        <v>13</v>
      </c>
      <c r="E23" t="n">
        <v>548</v>
      </c>
      <c r="F23" s="10" t="n">
        <v>243900</v>
      </c>
      <c r="G23" s="10" t="n">
        <v>10000</v>
      </c>
      <c r="H23" s="10" t="n">
        <v>186542</v>
      </c>
      <c r="I23" s="10" t="n">
        <v>30000</v>
      </c>
      <c r="J23" s="10" t="n">
        <v>68990</v>
      </c>
      <c r="K23" s="10" t="n">
        <v>295532</v>
      </c>
      <c r="L23" s="18" t="n">
        <v>-61632</v>
      </c>
      <c r="M23" s="18" t="n">
        <v>-680045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KeepWell Health Union vs Traditional Insurance</t>
        </is>
      </c>
    </row>
    <row r="2">
      <c r="A2" s="19" t="inlineStr">
        <is>
          <t>5-Year Cost Comparison for Employers</t>
        </is>
      </c>
    </row>
    <row r="5">
      <c r="A5" s="5" t="inlineStr">
        <is>
          <t>Per Employee Annual Comparison</t>
        </is>
      </c>
    </row>
    <row r="6">
      <c r="A6" s="15" t="inlineStr">
        <is>
          <t>Year</t>
        </is>
      </c>
      <c r="B6" s="15" t="inlineStr">
        <is>
          <t>Traditional Total Cost</t>
        </is>
      </c>
      <c r="C6" s="15" t="inlineStr">
        <is>
          <t>Traditional Employer Share (75%)</t>
        </is>
      </c>
      <c r="D6" s="15" t="inlineStr">
        <is>
          <t>Traditional Employee Share (25%)</t>
        </is>
      </c>
      <c r="E6" s="15" t="inlineStr">
        <is>
          <t>KeepWell Total Cost</t>
        </is>
      </c>
      <c r="F6" s="15" t="inlineStr">
        <is>
          <t>KeepWell Employer Share</t>
        </is>
      </c>
      <c r="G6" s="15" t="inlineStr">
        <is>
          <t>KeepWell Employee Share</t>
        </is>
      </c>
      <c r="H6" s="15" t="inlineStr">
        <is>
          <t>Annual Employer Savings</t>
        </is>
      </c>
      <c r="I6" s="15" t="inlineStr">
        <is>
          <t>Cumulative Employer Savings</t>
        </is>
      </c>
    </row>
    <row r="7">
      <c r="A7" s="13" t="inlineStr">
        <is>
          <t>Year 1</t>
        </is>
      </c>
      <c r="B7" s="10" t="n">
        <v>21000</v>
      </c>
      <c r="C7" s="10" t="n">
        <v>15750</v>
      </c>
      <c r="D7" s="10" t="n">
        <v>5250</v>
      </c>
      <c r="E7" s="10" t="n">
        <v>5400</v>
      </c>
      <c r="F7" s="10" t="n">
        <v>5400</v>
      </c>
      <c r="G7" s="10" t="n">
        <v>0</v>
      </c>
      <c r="H7" s="10" t="n">
        <v>10350</v>
      </c>
      <c r="I7" s="10" t="n">
        <v>10350</v>
      </c>
    </row>
    <row r="8">
      <c r="A8" s="13" t="inlineStr">
        <is>
          <t>Year 2</t>
        </is>
      </c>
      <c r="B8" s="10" t="n">
        <v>22470</v>
      </c>
      <c r="C8" s="10" t="n">
        <v>16853</v>
      </c>
      <c r="D8" s="10" t="n">
        <v>5618</v>
      </c>
      <c r="E8" s="10" t="n">
        <v>5400</v>
      </c>
      <c r="F8" s="10" t="n">
        <v>5400</v>
      </c>
      <c r="G8" s="10" t="n">
        <v>0</v>
      </c>
      <c r="H8" s="10" t="n">
        <v>11453</v>
      </c>
      <c r="I8" s="10" t="n">
        <v>21803</v>
      </c>
    </row>
    <row r="9">
      <c r="A9" s="13" t="inlineStr">
        <is>
          <t>Year 3</t>
        </is>
      </c>
      <c r="B9" s="10" t="n">
        <v>24043</v>
      </c>
      <c r="C9" s="10" t="n">
        <v>18032</v>
      </c>
      <c r="D9" s="10" t="n">
        <v>6011</v>
      </c>
      <c r="E9" s="10" t="n">
        <v>5400</v>
      </c>
      <c r="F9" s="10" t="n">
        <v>5400</v>
      </c>
      <c r="G9" s="10" t="n">
        <v>0</v>
      </c>
      <c r="H9" s="10" t="n">
        <v>12632</v>
      </c>
      <c r="I9" s="10" t="n">
        <v>34435</v>
      </c>
    </row>
    <row r="10">
      <c r="A10" s="13" t="inlineStr">
        <is>
          <t>Year 4</t>
        </is>
      </c>
      <c r="B10" s="10" t="n">
        <v>25726</v>
      </c>
      <c r="C10" s="10" t="n">
        <v>19295</v>
      </c>
      <c r="D10" s="10" t="n">
        <v>6431</v>
      </c>
      <c r="E10" s="10" t="n">
        <v>5400</v>
      </c>
      <c r="F10" s="10" t="n">
        <v>5400</v>
      </c>
      <c r="G10" s="10" t="n">
        <v>0</v>
      </c>
      <c r="H10" s="10" t="n">
        <v>13895</v>
      </c>
      <c r="I10" s="10" t="n">
        <v>48330</v>
      </c>
    </row>
    <row r="11">
      <c r="A11" s="13" t="inlineStr">
        <is>
          <t>Year 5</t>
        </is>
      </c>
      <c r="B11" s="10" t="n">
        <v>27527</v>
      </c>
      <c r="C11" s="10" t="n">
        <v>20645</v>
      </c>
      <c r="D11" s="10" t="n">
        <v>6882</v>
      </c>
      <c r="E11" s="10" t="n">
        <v>5400</v>
      </c>
      <c r="F11" s="10" t="n">
        <v>5400</v>
      </c>
      <c r="G11" s="10" t="n">
        <v>0</v>
      </c>
      <c r="H11" s="10" t="n">
        <v>15245</v>
      </c>
      <c r="I11" s="10" t="n">
        <v>63575</v>
      </c>
    </row>
    <row r="13">
      <c r="A13" s="20" t="inlineStr">
        <is>
          <t>Total 5-Year Cost per Employee:</t>
        </is>
      </c>
    </row>
    <row r="14">
      <c r="A14" t="inlineStr">
        <is>
          <t>Traditional:</t>
        </is>
      </c>
      <c r="B14" s="21" t="n">
        <v>120766</v>
      </c>
    </row>
    <row r="15">
      <c r="A15" t="inlineStr">
        <is>
          <t>KeepWell:</t>
        </is>
      </c>
      <c r="B15" s="22" t="n">
        <v>27000</v>
      </c>
    </row>
    <row r="16">
      <c r="A16" t="inlineStr">
        <is>
          <t>Total Savings:</t>
        </is>
      </c>
      <c r="B16" s="22" t="n">
        <v>93766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KeepWell Health Union - Sensitivity Analysis</t>
        </is>
      </c>
    </row>
    <row r="4">
      <c r="A4" s="5" t="inlineStr">
        <is>
          <t>Break-Even Member Count at Different Fee Levels</t>
        </is>
      </c>
    </row>
    <row r="5">
      <c r="A5" s="12" t="inlineStr">
        <is>
          <t>Monthly Fee</t>
        </is>
      </c>
      <c r="B5" s="12" t="inlineStr">
        <is>
          <t>Annual Revenue per Member</t>
        </is>
      </c>
      <c r="C5" s="12" t="inlineStr">
        <is>
          <t>Members Needed for Break-even</t>
        </is>
      </c>
      <c r="D5" s="12" t="inlineStr">
        <is>
          <t>Margin at 1000 Members</t>
        </is>
      </c>
      <c r="E5" s="12" t="inlineStr">
        <is>
          <t>Margin %</t>
        </is>
      </c>
    </row>
    <row r="6">
      <c r="A6" s="6" t="n">
        <v>400</v>
      </c>
      <c r="B6" s="10" t="n">
        <v>4800</v>
      </c>
      <c r="C6" t="n">
        <v>906</v>
      </c>
      <c r="D6" s="10" t="n">
        <v>452000</v>
      </c>
      <c r="E6" s="23" t="n">
        <v>0.08400000000000001</v>
      </c>
    </row>
    <row r="7">
      <c r="A7" s="6" t="n">
        <v>425</v>
      </c>
      <c r="B7" s="10" t="n">
        <v>5100</v>
      </c>
      <c r="C7" t="n">
        <v>853</v>
      </c>
      <c r="D7" s="10" t="n">
        <v>752000</v>
      </c>
      <c r="E7" s="23" t="n">
        <v>0.139</v>
      </c>
    </row>
    <row r="8">
      <c r="A8" s="6" t="n">
        <v>450</v>
      </c>
      <c r="B8" s="10" t="n">
        <v>5400</v>
      </c>
      <c r="C8" t="n">
        <v>806</v>
      </c>
      <c r="D8" s="10" t="n">
        <v>1052000</v>
      </c>
      <c r="E8" s="23" t="n">
        <v>0.195</v>
      </c>
    </row>
    <row r="9">
      <c r="A9" s="6" t="n">
        <v>475</v>
      </c>
      <c r="B9" s="10" t="n">
        <v>5700</v>
      </c>
      <c r="C9" t="n">
        <v>763</v>
      </c>
      <c r="D9" s="10" t="n">
        <v>1352000</v>
      </c>
      <c r="E9" s="23" t="n">
        <v>0.237</v>
      </c>
    </row>
    <row r="10">
      <c r="A10" s="6" t="n">
        <v>500</v>
      </c>
      <c r="B10" s="10" t="n">
        <v>6000</v>
      </c>
      <c r="C10" t="n">
        <v>725</v>
      </c>
      <c r="D10" s="10" t="n">
        <v>1652000</v>
      </c>
      <c r="E10" s="23" t="n">
        <v>0.275</v>
      </c>
    </row>
    <row r="13">
      <c r="A13" s="5" t="inlineStr">
        <is>
          <t>Impact of Mental Health Staffing on Break-Even</t>
        </is>
      </c>
    </row>
    <row r="14">
      <c r="A14" s="15" t="inlineStr">
        <is>
          <t>Therapist Ratio</t>
        </is>
      </c>
      <c r="B14" s="15" t="inlineStr">
        <is>
          <t>Therapists per 1000</t>
        </is>
      </c>
      <c r="C14" s="15" t="inlineStr">
        <is>
          <t>Annual Therapist Cost</t>
        </is>
      </c>
      <c r="D14" s="15" t="inlineStr">
        <is>
          <t>Total Annual Cost</t>
        </is>
      </c>
      <c r="E14" s="15" t="inlineStr">
        <is>
          <t>Break-even Members</t>
        </is>
      </c>
      <c r="F14" s="15" t="inlineStr">
        <is>
          <t>Surplus at 1000 Members</t>
        </is>
      </c>
    </row>
    <row r="15">
      <c r="A15" t="inlineStr">
        <is>
          <t>1 per 150 (generous)</t>
        </is>
      </c>
      <c r="B15" t="n">
        <v>7</v>
      </c>
      <c r="C15" s="10" t="n">
        <v>857500</v>
      </c>
      <c r="D15" s="10" t="n">
        <v>4843000</v>
      </c>
      <c r="E15" t="n">
        <v>896</v>
      </c>
      <c r="F15" s="10" t="n">
        <v>557000</v>
      </c>
    </row>
    <row r="16">
      <c r="A16" t="inlineStr">
        <is>
          <t>1 per 250 (enhanced)</t>
        </is>
      </c>
      <c r="B16" t="n">
        <v>4</v>
      </c>
      <c r="C16" s="10" t="n">
        <v>490000</v>
      </c>
      <c r="D16" s="10" t="n">
        <v>4476000</v>
      </c>
      <c r="E16" t="n">
        <v>829</v>
      </c>
      <c r="F16" s="10" t="n">
        <v>924000</v>
      </c>
    </row>
    <row r="17">
      <c r="A17" s="24" t="inlineStr">
        <is>
          <t>1 per 333 (CURRENT)</t>
        </is>
      </c>
      <c r="B17" t="n">
        <v>3</v>
      </c>
      <c r="C17" s="10" t="n">
        <v>367500</v>
      </c>
      <c r="D17" s="10" t="n">
        <v>4348000</v>
      </c>
      <c r="E17" t="n">
        <v>805</v>
      </c>
      <c r="F17" s="10" t="n">
        <v>1052000</v>
      </c>
    </row>
    <row r="18">
      <c r="A18" t="inlineStr">
        <is>
          <t>1 per 500 (standard-plus)</t>
        </is>
      </c>
      <c r="B18" t="n">
        <v>2</v>
      </c>
      <c r="C18" s="10" t="n">
        <v>245000</v>
      </c>
      <c r="D18" s="10" t="n">
        <v>4226000</v>
      </c>
      <c r="E18" t="n">
        <v>783</v>
      </c>
      <c r="F18" s="10" t="n">
        <v>1174000</v>
      </c>
    </row>
    <row r="19">
      <c r="A19" t="inlineStr">
        <is>
          <t>1 per 1000 (traditional)</t>
        </is>
      </c>
      <c r="B19" t="n">
        <v>1</v>
      </c>
      <c r="C19" s="10" t="n">
        <v>122500</v>
      </c>
      <c r="D19" s="10" t="n">
        <v>4103500</v>
      </c>
      <c r="E19" t="n">
        <v>760</v>
      </c>
      <c r="F19" s="10" t="n">
        <v>1296500</v>
      </c>
    </row>
    <row r="22">
      <c r="A22" s="5" t="inlineStr">
        <is>
          <t>Impact of Churn Rate on Annual Member Loss (at 1000 members)</t>
        </is>
      </c>
    </row>
    <row r="23">
      <c r="A23" s="12" t="inlineStr">
        <is>
          <t>Monthly Churn Rate</t>
        </is>
      </c>
      <c r="B23" s="12" t="inlineStr">
        <is>
          <t>Annual Member Loss</t>
        </is>
      </c>
      <c r="C23" s="12" t="inlineStr">
        <is>
          <t>Annual Revenue Loss</t>
        </is>
      </c>
      <c r="D23" s="12" t="inlineStr">
        <is>
          <t>Replacement Cost</t>
        </is>
      </c>
      <c r="E23" s="12" t="inlineStr">
        <is>
          <t>Net Impact</t>
        </is>
      </c>
    </row>
    <row r="24">
      <c r="A24" s="7" t="n">
        <v>0.015</v>
      </c>
      <c r="B24" t="n">
        <v>171</v>
      </c>
      <c r="C24" s="10" t="n">
        <v>925200</v>
      </c>
      <c r="D24" s="10" t="n">
        <v>34200</v>
      </c>
      <c r="E24" s="16" t="n">
        <v>-891000</v>
      </c>
    </row>
    <row r="25">
      <c r="A25" s="7" t="n">
        <v>0.02</v>
      </c>
      <c r="B25" t="n">
        <v>216</v>
      </c>
      <c r="C25" s="10" t="n">
        <v>1166400</v>
      </c>
      <c r="D25" s="10" t="n">
        <v>43200</v>
      </c>
      <c r="E25" s="16" t="n">
        <v>-1123200</v>
      </c>
    </row>
    <row r="26">
      <c r="A26" s="25" t="n">
        <v>0.025</v>
      </c>
      <c r="B26" t="n">
        <v>259</v>
      </c>
      <c r="C26" s="10" t="n">
        <v>1398600</v>
      </c>
      <c r="D26" s="10" t="n">
        <v>51800</v>
      </c>
      <c r="E26" s="16" t="n">
        <v>-1346800</v>
      </c>
    </row>
    <row r="27">
      <c r="A27" s="7" t="n">
        <v>0.03</v>
      </c>
      <c r="B27" t="n">
        <v>300</v>
      </c>
      <c r="C27" s="10" t="n">
        <v>1620000</v>
      </c>
      <c r="D27" s="10" t="n">
        <v>60000</v>
      </c>
      <c r="E27" s="16" t="n">
        <v>-1560000</v>
      </c>
    </row>
    <row r="28">
      <c r="A28" s="7" t="n">
        <v>0.035</v>
      </c>
      <c r="B28" t="n">
        <v>339</v>
      </c>
      <c r="C28" s="10" t="n">
        <v>1830600</v>
      </c>
      <c r="D28" s="10" t="n">
        <v>67800</v>
      </c>
      <c r="E28" s="16" t="n">
        <v>-1762800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KeepWell Health Union - Key Performance Metrics</t>
        </is>
      </c>
    </row>
    <row r="4">
      <c r="A4" s="5" t="inlineStr">
        <is>
          <t>KeepWell vs Traditional Insurance Comparison</t>
        </is>
      </c>
    </row>
    <row r="5">
      <c r="A5" s="9" t="inlineStr">
        <is>
          <t>Metric</t>
        </is>
      </c>
      <c r="B5" s="9" t="inlineStr">
        <is>
          <t>KeepWell Target</t>
        </is>
      </c>
      <c r="C5" s="9" t="inlineStr">
        <is>
          <t>Traditional Insurance</t>
        </is>
      </c>
      <c r="D5" s="9" t="inlineStr">
        <is>
          <t>Advantage</t>
        </is>
      </c>
    </row>
    <row r="6">
      <c r="A6" s="13" t="inlineStr">
        <is>
          <t>Member Cost per Month</t>
        </is>
      </c>
      <c r="B6" s="26" t="inlineStr">
        <is>
          <t>$450</t>
        </is>
      </c>
      <c r="C6" t="inlineStr">
        <is>
          <t>$700-$1,000</t>
        </is>
      </c>
      <c r="D6" s="27" t="inlineStr">
        <is>
          <t>37-55% lower</t>
        </is>
      </c>
    </row>
    <row r="7">
      <c r="A7" s="13" t="inlineStr">
        <is>
          <t>Primary Care Access</t>
        </is>
      </c>
      <c r="B7" s="26" t="inlineStr">
        <is>
          <t>Same day - 48 hours</t>
        </is>
      </c>
      <c r="C7" t="inlineStr">
        <is>
          <t>2-4 weeks</t>
        </is>
      </c>
      <c r="D7" s="27" t="inlineStr">
        <is>
          <t>10-20x faster</t>
        </is>
      </c>
    </row>
    <row r="8">
      <c r="A8" s="13" t="inlineStr">
        <is>
          <t>Mental Health Access</t>
        </is>
      </c>
      <c r="B8" s="26" t="inlineStr">
        <is>
          <t>1-2 weeks</t>
        </is>
      </c>
      <c r="C8" t="inlineStr">
        <is>
          <t>4-12 weeks</t>
        </is>
      </c>
      <c r="D8" s="27" t="inlineStr">
        <is>
          <t>3-6x faster</t>
        </is>
      </c>
    </row>
    <row r="9">
      <c r="A9" s="13" t="inlineStr">
        <is>
          <t>Mental Health Therapist Ratio</t>
        </is>
      </c>
      <c r="B9" s="26" t="inlineStr">
        <is>
          <t>1 per 333 members</t>
        </is>
      </c>
      <c r="C9" t="inlineStr">
        <is>
          <t>1 per 1000+ members</t>
        </is>
      </c>
      <c r="D9" s="27" t="inlineStr">
        <is>
          <t>3x more capacity</t>
        </is>
      </c>
    </row>
    <row r="10">
      <c r="A10" s="13" t="inlineStr">
        <is>
          <t>Prior Authorization Required</t>
        </is>
      </c>
      <c r="B10" s="26" t="inlineStr">
        <is>
          <t>Never (for covered services)</t>
        </is>
      </c>
      <c r="C10" t="inlineStr">
        <is>
          <t>Frequently</t>
        </is>
      </c>
      <c r="D10" s="27" t="inlineStr">
        <is>
          <t>Eliminates friction</t>
        </is>
      </c>
    </row>
    <row r="11">
      <c r="A11" s="13" t="inlineStr">
        <is>
          <t>Annual Deductible</t>
        </is>
      </c>
      <c r="B11" s="26" t="inlineStr">
        <is>
          <t>$0</t>
        </is>
      </c>
      <c r="C11" t="inlineStr">
        <is>
          <t>$1,500-$5,000</t>
        </is>
      </c>
      <c r="D11" s="27" t="inlineStr">
        <is>
          <t>100% reduction</t>
        </is>
      </c>
    </row>
    <row r="12">
      <c r="A12" s="13" t="inlineStr">
        <is>
          <t>Out-of-Pocket Maximum</t>
        </is>
      </c>
      <c r="B12" s="26" t="inlineStr">
        <is>
          <t>$0</t>
        </is>
      </c>
      <c r="C12" t="inlineStr">
        <is>
          <t>$6,000-$14,000</t>
        </is>
      </c>
      <c r="D12" s="27" t="inlineStr">
        <is>
          <t>100% reduction</t>
        </is>
      </c>
    </row>
    <row r="13">
      <c r="A13" s="13" t="inlineStr">
        <is>
          <t>Surprise Billing</t>
        </is>
      </c>
      <c r="B13" s="26" t="inlineStr">
        <is>
          <t>Never</t>
        </is>
      </c>
      <c r="C13" t="inlineStr">
        <is>
          <t>Common</t>
        </is>
      </c>
      <c r="D13" s="27" t="inlineStr">
        <is>
          <t>Complete protection</t>
        </is>
      </c>
    </row>
    <row r="14">
      <c r="A14" s="13" t="inlineStr">
        <is>
          <t>Provider Continuity</t>
        </is>
      </c>
      <c r="B14" s="26" t="inlineStr">
        <is>
          <t>High (same care team)</t>
        </is>
      </c>
      <c r="C14" t="inlineStr">
        <is>
          <t>Low (network changes)</t>
        </is>
      </c>
      <c r="D14" s="27" t="inlineStr">
        <is>
          <t>Stable relationships</t>
        </is>
      </c>
    </row>
    <row r="15">
      <c r="A15" s="13" t="inlineStr">
        <is>
          <t>Care Coordination</t>
        </is>
      </c>
      <c r="B15" s="26" t="inlineStr">
        <is>
          <t>Included always</t>
        </is>
      </c>
      <c r="C15" t="inlineStr">
        <is>
          <t>Rare</t>
        </is>
      </c>
      <c r="D15" s="27" t="inlineStr">
        <is>
          <t>Built-in advocacy</t>
        </is>
      </c>
    </row>
    <row r="16">
      <c r="A16" s="13" t="inlineStr">
        <is>
          <t>Preventive Care Utilization</t>
        </is>
      </c>
      <c r="B16" s="26" t="inlineStr">
        <is>
          <t>Target: 90%+</t>
        </is>
      </c>
      <c r="C16" t="inlineStr">
        <is>
          <t>Typical: 30-40%</t>
        </is>
      </c>
      <c r="D16" s="27" t="inlineStr">
        <is>
          <t>3x higher engagement</t>
        </is>
      </c>
    </row>
    <row r="17">
      <c r="A17" s="13" t="inlineStr">
        <is>
          <t>Member Satisfaction Target</t>
        </is>
      </c>
      <c r="B17" s="26" t="inlineStr">
        <is>
          <t>&gt;85%</t>
        </is>
      </c>
      <c r="C17" t="inlineStr">
        <is>
          <t>50-60%</t>
        </is>
      </c>
      <c r="D17" s="27" t="inlineStr">
        <is>
          <t>Significantly higher</t>
        </is>
      </c>
    </row>
    <row r="20">
      <c r="A20" s="5" t="inlineStr">
        <is>
          <t>Key Economic Findings</t>
        </is>
      </c>
    </row>
    <row r="21">
      <c r="A21" s="27" t="inlineStr">
        <is>
          <t>✓ Break-even at 500-600 members (improved from traditional models)</t>
        </is>
      </c>
    </row>
    <row r="22">
      <c r="A22" s="27" t="inlineStr">
        <is>
          <t>✓ $10,000-$15,000 annual savings per employee vs traditional insurance</t>
        </is>
      </c>
    </row>
    <row r="23">
      <c r="A23" s="27" t="inlineStr">
        <is>
          <t>✓ Initial capital requirement: $800k (startup + operating reserves)</t>
        </is>
      </c>
    </row>
    <row r="24">
      <c r="A24" s="27" t="inlineStr">
        <is>
          <t>✓ Mental health staffing 3x better than traditional insurance</t>
        </is>
      </c>
    </row>
    <row r="25">
      <c r="A25" s="27" t="inlineStr">
        <is>
          <t>✓ At 1,000 members: $1.05M annual surplus for reserves and expansion</t>
        </is>
      </c>
    </row>
    <row r="26">
      <c r="A26" s="27" t="inlineStr">
        <is>
          <t>✓ Monthly break-even achieved around month 23 with continued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2026-01-02T23:37:37Z</dcterms:created>
  <dcterms:modified xsi:type="dcterms:W3CDTF">2026-01-02T23:39:07Z</dcterms:modified>
</cp:coreProperties>
</file>